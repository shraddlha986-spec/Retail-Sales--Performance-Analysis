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94509B8631167524/Documents/"/>
    </mc:Choice>
  </mc:AlternateContent>
  <xr:revisionPtr revIDLastSave="841" documentId="8_{81AF77FA-97CC-4311-9719-C2152A21119D}" xr6:coauthVersionLast="47" xr6:coauthVersionMax="47" xr10:uidLastSave="{AB9D2E8A-D63E-491C-A0FE-1C4B6FE92AA8}"/>
  <bookViews>
    <workbookView xWindow="-108" yWindow="-108" windowWidth="23256" windowHeight="12456" firstSheet="3" activeTab="3" xr2:uid="{9691E846-5488-45C3-8087-B4319130E8C9}"/>
  </bookViews>
  <sheets>
    <sheet name="Order" sheetId="1" r:id="rId1"/>
    <sheet name="Product_Master" sheetId="2" r:id="rId2"/>
    <sheet name="Analysis" sheetId="3" r:id="rId3"/>
    <sheet name="Dashboard" sheetId="5" r:id="rId4"/>
    <sheet name="Regional_Analysis" sheetId="4" r:id="rId5"/>
    <sheet name="Product_Analysis" sheetId="6" r:id="rId6"/>
    <sheet name="Executive_Summary"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 i="5" l="1"/>
  <c r="F4" i="5"/>
  <c r="F3" i="5"/>
  <c r="G4" i="6"/>
  <c r="F5" i="6"/>
  <c r="F4" i="6"/>
  <c r="D6" i="4"/>
  <c r="D5" i="4"/>
  <c r="E6" i="6"/>
  <c r="E5" i="6"/>
  <c r="E4" i="6"/>
  <c r="G70" i="1"/>
  <c r="D8" i="6"/>
  <c r="D6" i="6"/>
  <c r="D5" i="6"/>
  <c r="D4" i="6"/>
  <c r="C5" i="6"/>
  <c r="G5" i="6" s="1"/>
  <c r="C6" i="6"/>
  <c r="C4" i="6"/>
  <c r="B6" i="6"/>
  <c r="B8" i="6" s="1"/>
  <c r="H4" i="6" s="1"/>
  <c r="B5" i="6"/>
  <c r="B4" i="6"/>
  <c r="F4" i="4"/>
  <c r="F9" i="4"/>
  <c r="E4" i="4"/>
  <c r="F5" i="4"/>
  <c r="F6" i="4"/>
  <c r="F7" i="4"/>
  <c r="G5" i="4"/>
  <c r="G6" i="4"/>
  <c r="G7" i="4"/>
  <c r="G4" i="4"/>
  <c r="E5" i="4"/>
  <c r="E6" i="4"/>
  <c r="E7" i="4"/>
  <c r="D7" i="4"/>
  <c r="D4" i="4"/>
  <c r="K70" i="1"/>
  <c r="C7" i="4"/>
  <c r="C6" i="4"/>
  <c r="C5" i="4"/>
  <c r="C4" i="4"/>
  <c r="B7" i="4"/>
  <c r="B6" i="4"/>
  <c r="B5" i="4"/>
  <c r="B4" i="4"/>
  <c r="J70" i="1"/>
  <c r="J41" i="1"/>
  <c r="B11" i="5" s="1"/>
  <c r="J42" i="1"/>
  <c r="E41" i="3" s="1"/>
  <c r="J43" i="1"/>
  <c r="E42" i="3" s="1"/>
  <c r="J44" i="1"/>
  <c r="J45" i="1"/>
  <c r="J46" i="1"/>
  <c r="J47" i="1"/>
  <c r="K47" i="1" s="1"/>
  <c r="J48" i="1"/>
  <c r="J49" i="1"/>
  <c r="J50" i="1"/>
  <c r="J51" i="1"/>
  <c r="J52" i="1"/>
  <c r="J53" i="1"/>
  <c r="J54" i="1"/>
  <c r="E53" i="3" s="1"/>
  <c r="J55" i="1"/>
  <c r="E54" i="3" s="1"/>
  <c r="J56" i="1"/>
  <c r="J57" i="1"/>
  <c r="J58" i="1"/>
  <c r="E57" i="3" s="1"/>
  <c r="J59" i="1"/>
  <c r="J60" i="1"/>
  <c r="J61" i="1"/>
  <c r="J62" i="1"/>
  <c r="E61" i="3" s="1"/>
  <c r="J63" i="1"/>
  <c r="K63" i="1" s="1"/>
  <c r="J64" i="1"/>
  <c r="J65" i="1"/>
  <c r="E64" i="3" s="1"/>
  <c r="J66" i="1"/>
  <c r="J67" i="1"/>
  <c r="J68" i="1"/>
  <c r="E45" i="3"/>
  <c r="E51" i="3"/>
  <c r="E59" i="3"/>
  <c r="E67" i="3"/>
  <c r="B15" i="5"/>
  <c r="B5" i="5"/>
  <c r="G2" i="3"/>
  <c r="F28" i="3"/>
  <c r="F29" i="3"/>
  <c r="F30" i="3"/>
  <c r="F31" i="3"/>
  <c r="F32" i="3"/>
  <c r="F33" i="3"/>
  <c r="F34" i="3"/>
  <c r="F35" i="3"/>
  <c r="F36" i="3"/>
  <c r="F37" i="3"/>
  <c r="F38" i="3"/>
  <c r="F39" i="3"/>
  <c r="F13" i="3"/>
  <c r="F14" i="3"/>
  <c r="F15" i="3"/>
  <c r="F16" i="3"/>
  <c r="F17" i="3"/>
  <c r="F18" i="3"/>
  <c r="F19" i="3"/>
  <c r="F20" i="3"/>
  <c r="F21" i="3"/>
  <c r="F22" i="3"/>
  <c r="F23" i="3"/>
  <c r="F24" i="3"/>
  <c r="F25" i="3"/>
  <c r="F26" i="3"/>
  <c r="F27" i="3"/>
  <c r="F3" i="3"/>
  <c r="F4" i="3"/>
  <c r="F5" i="3"/>
  <c r="F6" i="3"/>
  <c r="F7" i="3"/>
  <c r="F8" i="3"/>
  <c r="F9" i="3"/>
  <c r="F10" i="3"/>
  <c r="F11" i="3"/>
  <c r="F12" i="3"/>
  <c r="F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4" i="3"/>
  <c r="E46" i="3"/>
  <c r="E47" i="3"/>
  <c r="E48" i="3"/>
  <c r="E49" i="3"/>
  <c r="E50" i="3"/>
  <c r="E52" i="3"/>
  <c r="E55" i="3"/>
  <c r="E56" i="3"/>
  <c r="E58" i="3"/>
  <c r="E60" i="3"/>
  <c r="E63" i="3"/>
  <c r="E65" i="3"/>
  <c r="E66" i="3"/>
  <c r="E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56" i="3"/>
  <c r="D64" i="3"/>
  <c r="D2" i="3"/>
  <c r="C67"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1" i="3"/>
  <c r="F41" i="3" s="1"/>
  <c r="B60" i="3"/>
  <c r="F60" i="3" s="1"/>
  <c r="B2" i="3"/>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D41" i="3" s="1"/>
  <c r="K43" i="1"/>
  <c r="B42" i="3" s="1"/>
  <c r="F42" i="3" s="1"/>
  <c r="K45" i="1"/>
  <c r="D44" i="3" s="1"/>
  <c r="K46" i="1"/>
  <c r="B45" i="3" s="1"/>
  <c r="F45" i="3" s="1"/>
  <c r="K48" i="1"/>
  <c r="D47" i="3" s="1"/>
  <c r="K49" i="1"/>
  <c r="B48" i="3" s="1"/>
  <c r="F48" i="3" s="1"/>
  <c r="K50" i="1"/>
  <c r="D49" i="3" s="1"/>
  <c r="K51" i="1"/>
  <c r="D50" i="3" s="1"/>
  <c r="K53" i="1"/>
  <c r="D52" i="3" s="1"/>
  <c r="K54" i="1"/>
  <c r="B53" i="3" s="1"/>
  <c r="F53" i="3" s="1"/>
  <c r="K56" i="1"/>
  <c r="D55" i="3" s="1"/>
  <c r="K57" i="1"/>
  <c r="B56" i="3" s="1"/>
  <c r="F56" i="3" s="1"/>
  <c r="K58" i="1"/>
  <c r="D57" i="3" s="1"/>
  <c r="K59" i="1"/>
  <c r="B58" i="3" s="1"/>
  <c r="F58" i="3" s="1"/>
  <c r="K61" i="1"/>
  <c r="D60" i="3" s="1"/>
  <c r="K62" i="1"/>
  <c r="B61" i="3" s="1"/>
  <c r="F61" i="3" s="1"/>
  <c r="K64" i="1"/>
  <c r="D63" i="3" s="1"/>
  <c r="K65" i="1"/>
  <c r="B64" i="3" s="1"/>
  <c r="F64" i="3" s="1"/>
  <c r="K66" i="1"/>
  <c r="D65" i="3" s="1"/>
  <c r="K67" i="1"/>
  <c r="D66" i="3" s="1"/>
  <c r="K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3" i="1"/>
  <c r="H54" i="1" a="1"/>
  <c r="H54" i="1" s="1"/>
  <c r="H61" i="1" a="1"/>
  <c r="H61" i="1" s="1"/>
  <c r="I61" i="1" a="1"/>
  <c r="I61" i="1" s="1"/>
  <c r="H62" i="1" a="1"/>
  <c r="H62" i="1" s="1"/>
  <c r="I62" i="1" a="1"/>
  <c r="I62" i="1" s="1"/>
  <c r="H63" i="1" a="1"/>
  <c r="H63" i="1" s="1"/>
  <c r="I63" i="1" a="1"/>
  <c r="I63" i="1" s="1"/>
  <c r="H64" i="1" a="1"/>
  <c r="H64" i="1" s="1"/>
  <c r="I64" i="1" a="1"/>
  <c r="I64" i="1" s="1"/>
  <c r="H65" i="1" a="1"/>
  <c r="H65" i="1" s="1"/>
  <c r="I65" i="1" a="1"/>
  <c r="I65" i="1" s="1"/>
  <c r="H66" i="1" a="1"/>
  <c r="H66" i="1" s="1"/>
  <c r="I66" i="1" a="1"/>
  <c r="I66" i="1" s="1"/>
  <c r="H67" i="1" a="1"/>
  <c r="H67" i="1" s="1"/>
  <c r="I67" i="1" a="1"/>
  <c r="I67" i="1" s="1"/>
  <c r="H68" i="1" a="1"/>
  <c r="H68" i="1" s="1"/>
  <c r="I68" i="1" a="1"/>
  <c r="I68" i="1" s="1"/>
  <c r="I53" i="1" a="1"/>
  <c r="I53" i="1" s="1"/>
  <c r="I54" i="1" a="1"/>
  <c r="I54" i="1" s="1"/>
  <c r="I55" i="1" a="1"/>
  <c r="I55" i="1" s="1"/>
  <c r="I56" i="1" a="1"/>
  <c r="I56" i="1" s="1"/>
  <c r="I57" i="1" a="1"/>
  <c r="I57" i="1" s="1"/>
  <c r="I58" i="1" a="1"/>
  <c r="I58" i="1" s="1"/>
  <c r="I59" i="1" a="1"/>
  <c r="I59" i="1" s="1"/>
  <c r="I60" i="1" a="1"/>
  <c r="I60" i="1" s="1"/>
  <c r="H55" i="1" a="1"/>
  <c r="H55" i="1" s="1"/>
  <c r="H56" i="1" a="1"/>
  <c r="H56" i="1" s="1"/>
  <c r="H57" i="1" a="1"/>
  <c r="H57" i="1" s="1"/>
  <c r="H58" i="1" a="1"/>
  <c r="H58" i="1" s="1"/>
  <c r="H59" i="1" a="1"/>
  <c r="H59" i="1" s="1"/>
  <c r="H60" i="1" a="1"/>
  <c r="H60" i="1" s="1"/>
  <c r="H53" i="1" a="1"/>
  <c r="H53" i="1" s="1"/>
  <c r="H6" i="6" l="1"/>
  <c r="H5" i="6"/>
  <c r="G6" i="6"/>
  <c r="G8" i="6" s="1"/>
  <c r="F6" i="6"/>
  <c r="F8" i="6" s="1"/>
  <c r="E9" i="4"/>
  <c r="D9" i="4"/>
  <c r="E8" i="6"/>
  <c r="C8" i="6"/>
  <c r="C9" i="4"/>
  <c r="D46" i="3"/>
  <c r="B46" i="3"/>
  <c r="F46" i="3" s="1"/>
  <c r="B62" i="3"/>
  <c r="F62" i="3" s="1"/>
  <c r="D62" i="3"/>
  <c r="K55" i="1"/>
  <c r="B65" i="3"/>
  <c r="F65" i="3" s="1"/>
  <c r="B44" i="3"/>
  <c r="F44" i="3" s="1"/>
  <c r="D48" i="3"/>
  <c r="B57" i="3"/>
  <c r="F57" i="3" s="1"/>
  <c r="D45" i="3"/>
  <c r="D61" i="3"/>
  <c r="B52" i="3"/>
  <c r="F52" i="3" s="1"/>
  <c r="E62" i="3"/>
  <c r="B49" i="3"/>
  <c r="F49" i="3" s="1"/>
  <c r="D53" i="3"/>
  <c r="B66" i="3"/>
  <c r="F66" i="3" s="1"/>
  <c r="B40" i="3"/>
  <c r="F40" i="3" s="1"/>
  <c r="B50" i="3"/>
  <c r="F50" i="3" s="1"/>
  <c r="B63" i="3"/>
  <c r="F63" i="3" s="1"/>
  <c r="B55" i="3"/>
  <c r="F55" i="3" s="1"/>
  <c r="B47" i="3"/>
  <c r="F47" i="3" s="1"/>
  <c r="D58" i="3"/>
  <c r="D42" i="3"/>
  <c r="K68" i="1"/>
  <c r="K60" i="1"/>
  <c r="K52" i="1"/>
  <c r="K44" i="1"/>
  <c r="B12" i="5" s="1"/>
  <c r="B14" i="5" s="1"/>
  <c r="E43" i="3"/>
  <c r="D40" i="3"/>
  <c r="B13" i="5"/>
  <c r="H8" i="6" l="1"/>
  <c r="D54" i="3"/>
  <c r="B54" i="3"/>
  <c r="F54" i="3" s="1"/>
  <c r="B43" i="3"/>
  <c r="F43" i="3" s="1"/>
  <c r="D43" i="3"/>
  <c r="B51" i="3"/>
  <c r="F51" i="3" s="1"/>
  <c r="D51" i="3"/>
  <c r="B17" i="5" s="1"/>
  <c r="B59" i="3"/>
  <c r="F59" i="3" s="1"/>
  <c r="B21" i="5" s="1"/>
  <c r="D59" i="3"/>
  <c r="B9" i="4"/>
  <c r="B67" i="3"/>
  <c r="F67" i="3" s="1"/>
  <c r="D67" i="3"/>
  <c r="B26" i="5"/>
  <c r="B25" i="5"/>
  <c r="B16" i="5"/>
  <c r="B24" i="5" l="1"/>
  <c r="I2" i="3"/>
  <c r="B7" i="5"/>
  <c r="H2" i="3"/>
  <c r="J2" i="3" s="1"/>
  <c r="B20" i="5"/>
  <c r="B23" i="5" s="1"/>
  <c r="B6" i="5"/>
  <c r="B8" i="5" s="1"/>
  <c r="B22" i="5"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<sst xmlns="http://schemas.openxmlformats.org/spreadsheetml/2006/main" count="602" uniqueCount="192">
  <si>
    <t>MID-TIER INDIAN RETAIL COMPANY</t>
  </si>
  <si>
    <t>Order_ID</t>
  </si>
  <si>
    <t>Order_date</t>
  </si>
  <si>
    <t>Religion</t>
  </si>
  <si>
    <t>City</t>
  </si>
  <si>
    <t>Product_Category</t>
  </si>
  <si>
    <t>Product_Name</t>
  </si>
  <si>
    <t>Unit_Sold</t>
  </si>
  <si>
    <t>Unit_Price</t>
  </si>
  <si>
    <t>Cost_Price</t>
  </si>
  <si>
    <t>Sales_Amount</t>
  </si>
  <si>
    <t>Profit</t>
  </si>
  <si>
    <t>Order01</t>
  </si>
  <si>
    <t>Order02</t>
  </si>
  <si>
    <t>Order03</t>
  </si>
  <si>
    <t>Order04</t>
  </si>
  <si>
    <t>Order05</t>
  </si>
  <si>
    <t>Order06</t>
  </si>
  <si>
    <t>Order07</t>
  </si>
  <si>
    <t>Order08</t>
  </si>
  <si>
    <t>Order09</t>
  </si>
  <si>
    <t>Order10</t>
  </si>
  <si>
    <t>Order11</t>
  </si>
  <si>
    <t>Order12</t>
  </si>
  <si>
    <t>Order13</t>
  </si>
  <si>
    <t>Order14</t>
  </si>
  <si>
    <t>Order15</t>
  </si>
  <si>
    <t>Order16</t>
  </si>
  <si>
    <t>Order17</t>
  </si>
  <si>
    <t>Order18</t>
  </si>
  <si>
    <t>Order19</t>
  </si>
  <si>
    <t>Order20</t>
  </si>
  <si>
    <t>Order21</t>
  </si>
  <si>
    <t>Order22</t>
  </si>
  <si>
    <t>Order23</t>
  </si>
  <si>
    <t>Order24</t>
  </si>
  <si>
    <t>Order25</t>
  </si>
  <si>
    <t>Order26</t>
  </si>
  <si>
    <t>Order27</t>
  </si>
  <si>
    <t>Order28</t>
  </si>
  <si>
    <t>Order29</t>
  </si>
  <si>
    <t>Order30</t>
  </si>
  <si>
    <t>Order31</t>
  </si>
  <si>
    <t>Order32</t>
  </si>
  <si>
    <t>Order33</t>
  </si>
  <si>
    <t>Order34</t>
  </si>
  <si>
    <t>Order35</t>
  </si>
  <si>
    <t>Order36</t>
  </si>
  <si>
    <t>Order37</t>
  </si>
  <si>
    <t>Order38</t>
  </si>
  <si>
    <t>Order39</t>
  </si>
  <si>
    <t>Order40</t>
  </si>
  <si>
    <t>Order41</t>
  </si>
  <si>
    <t>Order42</t>
  </si>
  <si>
    <t>Order43</t>
  </si>
  <si>
    <t>Order44</t>
  </si>
  <si>
    <t>Order45</t>
  </si>
  <si>
    <t>Order46</t>
  </si>
  <si>
    <t>Order47</t>
  </si>
  <si>
    <t>Order48</t>
  </si>
  <si>
    <t>Order49</t>
  </si>
  <si>
    <t>Order50</t>
  </si>
  <si>
    <t>Order51</t>
  </si>
  <si>
    <t>Order52</t>
  </si>
  <si>
    <t>Order53</t>
  </si>
  <si>
    <t>Order54</t>
  </si>
  <si>
    <t>Order55</t>
  </si>
  <si>
    <t>Order56</t>
  </si>
  <si>
    <t>Order57</t>
  </si>
  <si>
    <t>Order58</t>
  </si>
  <si>
    <t>Order59</t>
  </si>
  <si>
    <t>Order60</t>
  </si>
  <si>
    <t>Order61</t>
  </si>
  <si>
    <t>Order62</t>
  </si>
  <si>
    <t>Order63</t>
  </si>
  <si>
    <t>Order64</t>
  </si>
  <si>
    <t>Order65</t>
  </si>
  <si>
    <t>Order66</t>
  </si>
  <si>
    <t>North</t>
  </si>
  <si>
    <t>East</t>
  </si>
  <si>
    <t>West</t>
  </si>
  <si>
    <t>South</t>
  </si>
  <si>
    <t>Delhi</t>
  </si>
  <si>
    <t>Noida</t>
  </si>
  <si>
    <t>G.Noida</t>
  </si>
  <si>
    <t>Gaziyabad</t>
  </si>
  <si>
    <t>Mobile</t>
  </si>
  <si>
    <t>Accessories</t>
  </si>
  <si>
    <t>Laptop</t>
  </si>
  <si>
    <t>Samsung A-Series</t>
  </si>
  <si>
    <t>Samsung A-series</t>
  </si>
  <si>
    <t>Apple Iphone</t>
  </si>
  <si>
    <t>Xioami Redmi</t>
  </si>
  <si>
    <t>Xioami poco</t>
  </si>
  <si>
    <t>Vivo Y-Series</t>
  </si>
  <si>
    <t>Vivo N-Series</t>
  </si>
  <si>
    <t>Oppo Find-Series</t>
  </si>
  <si>
    <t>Oppo Reno-Series</t>
  </si>
  <si>
    <t>Google pixel</t>
  </si>
  <si>
    <t>Oneplus Nord</t>
  </si>
  <si>
    <t>Onelpus Number-series</t>
  </si>
  <si>
    <t>Realme Narzo-Series</t>
  </si>
  <si>
    <t>Techno Spark-Series</t>
  </si>
  <si>
    <t>Techno Pova-series</t>
  </si>
  <si>
    <t>infinix Hot-Series</t>
  </si>
  <si>
    <t xml:space="preserve">Apple </t>
  </si>
  <si>
    <t>lenovo</t>
  </si>
  <si>
    <t>Asus</t>
  </si>
  <si>
    <t>Apple</t>
  </si>
  <si>
    <t>Dell</t>
  </si>
  <si>
    <t>HP</t>
  </si>
  <si>
    <t>apple</t>
  </si>
  <si>
    <t>dell</t>
  </si>
  <si>
    <t>hp</t>
  </si>
  <si>
    <t>asus</t>
  </si>
  <si>
    <t>Profit Margin Calculation</t>
  </si>
  <si>
    <t>Month Extraction</t>
  </si>
  <si>
    <t>Profitability Status</t>
  </si>
  <si>
    <t>Sales Category</t>
  </si>
  <si>
    <t>Data_Quality_Flag</t>
  </si>
  <si>
    <t xml:space="preserve">Total Order </t>
  </si>
  <si>
    <t>Clean Orders</t>
  </si>
  <si>
    <t>Flagged order</t>
  </si>
  <si>
    <t xml:space="preserve">% Data Quality  </t>
  </si>
  <si>
    <t>COMPANY PERFORMANCE DASHBOARD-MID- TIER RETAIL</t>
  </si>
  <si>
    <t>DATA QUALITY SUMMARY</t>
  </si>
  <si>
    <t>Total order</t>
  </si>
  <si>
    <t>Clean Order</t>
  </si>
  <si>
    <t>Flagged Order</t>
  </si>
  <si>
    <t>Data quality</t>
  </si>
  <si>
    <t>KEY METRICS- FULL DATASET</t>
  </si>
  <si>
    <t>Toatal Revenue</t>
  </si>
  <si>
    <t>Avg. Order Value</t>
  </si>
  <si>
    <t>Overall Profit Margin%</t>
  </si>
  <si>
    <t>Total unit sold</t>
  </si>
  <si>
    <t>Profitability order</t>
  </si>
  <si>
    <t>Loss-Making order</t>
  </si>
  <si>
    <t>KEY METRICS-CLEAN DATASET ONLY</t>
  </si>
  <si>
    <t>Total Revenue</t>
  </si>
  <si>
    <t>Total Profit</t>
  </si>
  <si>
    <t>Avg Order Value</t>
  </si>
  <si>
    <t>Total unit Sold</t>
  </si>
  <si>
    <t>Profitable order</t>
  </si>
  <si>
    <t>loss- making order</t>
  </si>
  <si>
    <t>Total profit</t>
  </si>
  <si>
    <t>REGIONAL PERFORMNANCE ANALYSIS</t>
  </si>
  <si>
    <t xml:space="preserve">Region </t>
  </si>
  <si>
    <t>Total sales</t>
  </si>
  <si>
    <t xml:space="preserve">Total profit </t>
  </si>
  <si>
    <t xml:space="preserve">Order count </t>
  </si>
  <si>
    <t>Average order value</t>
  </si>
  <si>
    <t>Profit margin %</t>
  </si>
  <si>
    <t>Rank</t>
  </si>
  <si>
    <t>TOTAL</t>
  </si>
  <si>
    <t>PRODUCT CATEGORY PERFORMANCE ANALYSIS</t>
  </si>
  <si>
    <t>Product_category</t>
  </si>
  <si>
    <t>Unit sold</t>
  </si>
  <si>
    <t>Order count</t>
  </si>
  <si>
    <t>Profit margin</t>
  </si>
  <si>
    <t>Revenue share</t>
  </si>
  <si>
    <t xml:space="preserve">Total </t>
  </si>
  <si>
    <t xml:space="preserve">EXECUTIVE SUMMARY </t>
  </si>
  <si>
    <t xml:space="preserve">Mid- Tier Indian Retail Company - Sales Performance Analysis </t>
  </si>
  <si>
    <t>Analysis Period : April - june 2025</t>
  </si>
  <si>
    <t>PROJECT OVERVIEW</t>
  </si>
  <si>
    <t>Analysis 66 transaction record across 4 regions and 3 Product categories to assess business performance and identity optimization opportunity</t>
  </si>
  <si>
    <t>KEY FINDING</t>
  </si>
  <si>
    <t>Data Quality Crisis</t>
  </si>
  <si>
    <t>Data audit uncovered critical pricing corruption in 80% of transactions. XLOOKUP- Based data entry process inadvertently reversed cost and selling prices, causing high- value electronics to be recorded at procurement cost rather than retail price. This data quality failure masked actual business performance: contaminated dataset shows negative 26% margin, while validated clean subset reveals healthy positive 9% margin and ₹115Cr profit.</t>
  </si>
  <si>
    <t>Regional Performance</t>
  </si>
  <si>
    <t>Regional analysis reveals stark performance divergence: East region leads with 292Cr revenue and 60% profit margin, while North region shows severe losses (577% margin) despite 14 orders. West region ranks second with positive performance. North and south region require immediate data validation, as current metrics systematic pricing error rather than fundamental business issues.</t>
  </si>
  <si>
    <t>Product Category Analysis</t>
  </si>
  <si>
    <t xml:space="preserve">Product Category Analysis identifies laptop as the sole profitable category, generating 62% of revenue "360Cr." with healthy 12% margins. Mobile shows concerning matrics: 10lakh+ units sold but negative margin due to pricing data corruption. Accessories category demonstrates catastrophic (114%) margins. Laptop segment strength indicate sound business fundamentals on pricing data integrity is restored across all categories. </t>
  </si>
  <si>
    <t xml:space="preserve">Profitability Assessment </t>
  </si>
  <si>
    <t>Profitability analysis reveals that critical data-driven distortion: full dataset indicates(26%) margin with 152Cr. Loss, while validated cleans subset demonstrates +9% margin with 115Cr. Profit. This 35% point variance confirm that inderlying business fundamentals are sound, but data quality issues severeky misrepresent actual performance. Immediate data correction required before Strategic decisions.</t>
  </si>
  <si>
    <t xml:space="preserve">STRATEGIC RECOMMENDATION </t>
  </si>
  <si>
    <t>Immediate Action</t>
  </si>
  <si>
    <t>Immediate audit all XLOOKUP- populated pricing field againt product_Master source data. Priority : 53 flagged transaction where cost/selling prices appear swapped. Implement data validation rules to prevent future errors, Timelines: complete correction within 2 weeks, then re-run comprehensive analysis with validation data.</t>
  </si>
  <si>
    <t>Suspend new order processing in North and South region until data integrity is confirmed. Manually review all transactions from these regions showing impossible margin. Establishapproval workflow for any order with margins outside 5-50% range to prevent future data corruption.</t>
  </si>
  <si>
    <t>Medium-Term Action ( Next 3-6 Month)</t>
  </si>
  <si>
    <t>Replicate East region's successful model (60% margin) to underperformimg region. Analyze East's pricing strategy, product mix, and operational practices. Develop standadized best practice documentation and training program for regional manager to improve consistency across all locations.</t>
  </si>
  <si>
    <t>Expand laptop category investment given strong perfromance ( 62% revenue share, 12% margin). Increase inventory depth for high- performing SKUs, negotiate volume discounts with suppliers, and enchance marketing focus. Target: grow laptop revenue by 25% while maintaining margin discipline through improved procuement efficiency.</t>
  </si>
  <si>
    <t xml:space="preserve">CONCLUSION </t>
  </si>
  <si>
    <t>Analysis reveals a fundamentally sound business masked by critical data quality issues. Clean dataset demonstration healthy 9% margin and 115Cr. Profit, confirming strong underlying fundamentals. Immediate priority: correct systematic pricing error affecting 80% of transactions. post-correction, focus on scaling East region's 60% margin model and expanding profitability laptop segment. With proper data governance strategic focus on high-performing region/ categories, company is well- positioned for sustainable growth.</t>
  </si>
  <si>
    <t>Prepered by: Shradha pandey</t>
  </si>
  <si>
    <t>Analysis Tools: Miicrosoft Excel ( XLOOKUP, Different fuctiion such as sumif, countif, Data validation)</t>
  </si>
  <si>
    <t>Date: Febuary 10, 2026</t>
  </si>
  <si>
    <t>Month</t>
  </si>
  <si>
    <t>Revenue</t>
  </si>
  <si>
    <t>April</t>
  </si>
  <si>
    <t>May</t>
  </si>
  <si>
    <t>June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</si>
</sst>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820]* #,##0.00_-;\-[$₹-820]* #,##0.00_-;_-[$₹-820]* &quot;-&quot;??_-;_-@_-"/>
    <numFmt numFmtId="165" formatCode="[$₹-439]#,##0.00"/>
  </numFmts>
  <fonts count="12" x14ac:knownFonts="1">
    <font>
      <sz val="11"/>
      <color theme="1"/>
      <name val="Calibri"/>
      <family val="2"/>
      <scheme val="minor"/>
    </font>
    <font>
      <b/>
      <sz val="11"/>
      <color theme="1"/>
      <name val="Calibri"/>
      <family val="2"/>
      <scheme val="minor"/>
    </font>
    <font>
      <b/>
      <u/>
      <sz val="11"/>
      <color theme="1"/>
      <name val="Calibri"/>
      <family val="2"/>
      <scheme val="minor"/>
    </font>
    <font>
      <sz val="8"/>
      <name val="Calibri"/>
      <family val="2"/>
      <scheme val="minor"/>
    </font>
    <font>
      <sz val="11"/>
      <color theme="1"/>
      <name val="Calibri"/>
      <family val="2"/>
      <scheme val="minor"/>
    </font>
    <font>
      <sz val="11"/>
      <color rgb="FF006100"/>
      <name val="Calibri"/>
      <family val="2"/>
      <scheme val="minor"/>
    </font>
    <font>
      <b/>
      <sz val="11"/>
      <color theme="4"/>
      <name val="Calibri"/>
      <family val="2"/>
      <scheme val="minor"/>
    </font>
    <font>
      <sz val="11"/>
      <color theme="0" tint="-0.499984740745262"/>
      <name val="Calibri"/>
      <family val="2"/>
      <scheme val="minor"/>
    </font>
    <font>
      <b/>
      <sz val="11"/>
      <color rgb="FF002060"/>
      <name val="Calibri"/>
      <family val="2"/>
      <scheme val="minor"/>
    </font>
    <font>
      <sz val="11"/>
      <color rgb="FF002060"/>
      <name val="Calibri"/>
      <family val="2"/>
      <scheme val="minor"/>
    </font>
    <font>
      <b/>
      <sz val="11"/>
      <color theme="0"/>
      <name val="Calibri"/>
      <family val="2"/>
      <scheme val="minor"/>
    </font>
    <font>
      <b/>
      <sz val="12"/>
      <color theme="1"/>
      <name val="Calibri"/>
      <family val="2"/>
      <scheme val="minor"/>
    </font>
  </fonts>
  <fills count="6">
    <fill>
      <patternFill patternType="none"/>
    </fill>
    <fill>
      <patternFill patternType="gray125"/>
    </fill>
    <fill>
      <patternFill patternType="solid">
        <fgColor rgb="FFC6EFCE"/>
      </patternFill>
    </fill>
    <fill>
      <patternFill patternType="solid">
        <fgColor rgb="FFA5A5A5"/>
      </patternFill>
    </fill>
    <fill>
      <patternFill patternType="solid">
        <fgColor theme="4" tint="0.79998168889431442"/>
        <bgColor indexed="65"/>
      </patternFill>
    </fill>
    <fill>
      <patternFill patternType="solid">
        <fgColor theme="7" tint="0.59999389629810485"/>
        <bgColor indexed="65"/>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double">
        <color rgb="FF3F3F3F"/>
      </left>
      <right style="double">
        <color rgb="FF3F3F3F"/>
      </right>
      <top style="double">
        <color rgb="FF3F3F3F"/>
      </top>
      <bottom style="double">
        <color rgb="FF3F3F3F"/>
      </bottom>
      <diagonal/>
    </border>
  </borders>
  <cellStyleXfs count="6">
    <xf numFmtId="0" fontId="0" fillId="0" borderId="0"/>
    <xf numFmtId="9" fontId="4" fillId="0" borderId="0" applyFont="0" applyFill="0" applyBorder="0" applyAlignment="0" applyProtection="0"/>
    <xf numFmtId="0" fontId="5" fillId="2" borderId="0" applyNumberFormat="0" applyBorder="0" applyAlignment="0" applyProtection="0"/>
    <xf numFmtId="0" fontId="10" fillId="3" borderId="5" applyNumberFormat="0" applyAlignment="0" applyProtection="0"/>
    <xf numFmtId="0" fontId="4" fillId="4" borderId="0" applyNumberFormat="0" applyBorder="0" applyAlignment="0" applyProtection="0"/>
    <xf numFmtId="0" fontId="4" fillId="5" borderId="0" applyNumberFormat="0" applyBorder="0" applyAlignment="0" applyProtection="0"/>
  </cellStyleXfs>
  <cellXfs count="37">
    <xf numFmtId="0" fontId="0" fillId="0" borderId="0" xfId="0"/>
    <xf numFmtId="0" fontId="1" fillId="0" borderId="0" xfId="0" applyFont="1"/>
    <xf numFmtId="14" fontId="0" fillId="0" borderId="0" xfId="0" applyNumberFormat="1"/>
    <xf numFmtId="164" fontId="0" fillId="0" borderId="0" xfId="0" applyNumberFormat="1"/>
    <xf numFmtId="2" fontId="0" fillId="0" borderId="0" xfId="0" applyNumberFormat="1"/>
    <xf numFmtId="9" fontId="0" fillId="0" borderId="0" xfId="1" applyFont="1"/>
    <xf numFmtId="2" fontId="0" fillId="0" borderId="0" xfId="1" applyNumberFormat="1" applyFont="1"/>
    <xf numFmtId="2" fontId="1" fillId="0" borderId="0" xfId="0" applyNumberFormat="1" applyFont="1"/>
    <xf numFmtId="165" fontId="0" fillId="0" borderId="0" xfId="0" applyNumberFormat="1"/>
    <xf numFmtId="0" fontId="6" fillId="0" borderId="1" xfId="0" applyFont="1" applyBorder="1"/>
    <xf numFmtId="2" fontId="6" fillId="0" borderId="2" xfId="0" applyNumberFormat="1" applyFont="1" applyBorder="1"/>
    <xf numFmtId="0" fontId="6" fillId="0" borderId="2" xfId="0" applyFont="1" applyBorder="1"/>
    <xf numFmtId="0" fontId="6" fillId="0" borderId="3" xfId="0" applyFont="1" applyBorder="1"/>
    <xf numFmtId="0" fontId="7" fillId="0" borderId="0" xfId="0" applyFont="1"/>
    <xf numFmtId="0" fontId="8" fillId="0" borderId="0" xfId="0" applyFont="1"/>
    <xf numFmtId="165" fontId="9" fillId="0" borderId="0" xfId="0" applyNumberFormat="1" applyFont="1"/>
    <xf numFmtId="0" fontId="9" fillId="0" borderId="0" xfId="0" applyFont="1"/>
    <xf numFmtId="9" fontId="9" fillId="0" borderId="0" xfId="0" applyNumberFormat="1" applyFont="1"/>
    <xf numFmtId="0" fontId="5" fillId="2" borderId="0" xfId="2"/>
    <xf numFmtId="165" fontId="0" fillId="0" borderId="0" xfId="0" applyNumberFormat="1" applyAlignment="1">
      <alignment horizontal="center"/>
    </xf>
    <xf numFmtId="9" fontId="5" fillId="2" borderId="0" xfId="2" applyNumberFormat="1"/>
    <xf numFmtId="9" fontId="0" fillId="0" borderId="4" xfId="1" applyFont="1" applyBorder="1"/>
    <xf numFmtId="0" fontId="6" fillId="0" borderId="2" xfId="0" applyFont="1" applyBorder="1" applyAlignment="1">
      <alignment horizontal="center"/>
    </xf>
    <xf numFmtId="165" fontId="6" fillId="0" borderId="2" xfId="0" applyNumberFormat="1" applyFont="1" applyBorder="1" applyAlignment="1">
      <alignment horizontal="center"/>
    </xf>
    <xf numFmtId="9" fontId="6" fillId="0" borderId="2" xfId="1" applyFont="1" applyBorder="1"/>
    <xf numFmtId="9" fontId="6" fillId="0" borderId="3" xfId="1" applyFont="1" applyBorder="1"/>
    <xf numFmtId="0" fontId="0" fillId="0" borderId="0" xfId="0" applyAlignment="1">
      <alignment wrapText="1"/>
    </xf>
    <xf numFmtId="0" fontId="1" fillId="0" borderId="0" xfId="0" applyFont="1" applyAlignment="1">
      <alignment horizontal="center"/>
    </xf>
    <xf numFmtId="0" fontId="0" fillId="0" borderId="0" xfId="0" applyAlignment="1">
      <alignment horizontal="center" vertical="top" wrapText="1"/>
    </xf>
    <xf numFmtId="0" fontId="11" fillId="0" borderId="0" xfId="0" applyFont="1"/>
    <xf numFmtId="0" fontId="10" fillId="3" borderId="5" xfId="3"/>
    <xf numFmtId="0" fontId="4" fillId="4" borderId="0" xfId="4"/>
    <xf numFmtId="0" fontId="4" fillId="5" borderId="0" xfId="5"/>
    <xf numFmtId="0" fontId="1" fillId="0" borderId="0" xfId="0" applyFont="1" applyAlignment="1">
      <alignment horizontal="center" vertical="center"/>
    </xf>
    <xf numFmtId="0" fontId="2" fillId="0" borderId="0" xfId="0" applyFont="1" applyAlignment="1">
      <alignment horizontal="center"/>
    </xf>
    <xf numFmtId="0" fontId="1" fillId="0" borderId="0" xfId="0" applyNumberFormat="1" applyFont="1" applyAlignment="1">
      <alignment horizontal="center"/>
    </xf>
    <xf numFmtId="16" fontId="1" fillId="0" borderId="0" xfId="0" applyNumberFormat="1" applyFont="1" applyAlignment="1">
      <alignment horizontal="center"/>
    </xf>
  </cellXfs>
  <cellStyles count="6">
    <cellStyle name="20% - Accent1" xfId="4" builtinId="30"/>
    <cellStyle name="40% - Accent4" xfId="5" builtinId="43"/>
    <cellStyle name="Check Cell" xfId="3" builtinId="23"/>
    <cellStyle name="Good" xfId="2" builtinId="26"/>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 Revenue Trend (Apr-Jun 2025)</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0"/>
          <c:order val="0"/>
          <c:tx>
            <c:strRef>
              <c:f>Dashboard!$F$2</c:f>
              <c:strCache>
                <c:ptCount val="1"/>
                <c:pt idx="0">
                  <c:v>Revenue</c:v>
                </c:pt>
              </c:strCache>
            </c:strRef>
          </c:tx>
          <c:spPr>
            <a:ln w="34925" cap="rnd">
              <a:solidFill>
                <a:schemeClr val="lt1"/>
              </a:solidFill>
              <a:round/>
            </a:ln>
            <a:effectLst>
              <a:outerShdw dist="25400" dir="2700000" algn="tl" rotWithShape="0">
                <a:schemeClr val="accent1"/>
              </a:outerShdw>
            </a:effectLst>
          </c:spPr>
          <c:marker>
            <c:symbol val="none"/>
          </c:marker>
          <c:cat>
            <c:strRef>
              <c:f>Dashboard!$E$3:$E$5</c:f>
              <c:strCache>
                <c:ptCount val="3"/>
                <c:pt idx="0">
                  <c:v>April</c:v>
                </c:pt>
                <c:pt idx="1">
                  <c:v>May</c:v>
                </c:pt>
                <c:pt idx="2">
                  <c:v>June</c:v>
                </c:pt>
              </c:strCache>
            </c:strRef>
          </c:cat>
          <c:val>
            <c:numRef>
              <c:f>Dashboard!$F$3:$F$5</c:f>
              <c:numCache>
                <c:formatCode>[$₹-439]#,##0.00</c:formatCode>
                <c:ptCount val="3"/>
                <c:pt idx="0">
                  <c:v>29988136160</c:v>
                </c:pt>
                <c:pt idx="1">
                  <c:v>25308066065</c:v>
                </c:pt>
                <c:pt idx="2">
                  <c:v>2010791519</c:v>
                </c:pt>
              </c:numCache>
            </c:numRef>
          </c:val>
          <c:smooth val="0"/>
          <c:extLst>
            <c:ext xmlns:c16="http://schemas.microsoft.com/office/drawing/2014/chart" uri="{C3380CC4-5D6E-409C-BE32-E72D297353CC}">
              <c16:uniqueId val="{00000000-692F-46FA-8AD5-B309C791F34B}"/>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372903695"/>
        <c:axId val="416071487"/>
      </c:lineChart>
      <c:catAx>
        <c:axId val="37290369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Month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416071487"/>
        <c:crosses val="autoZero"/>
        <c:auto val="1"/>
        <c:lblAlgn val="ctr"/>
        <c:lblOffset val="100"/>
        <c:noMultiLvlLbl val="0"/>
      </c:catAx>
      <c:valAx>
        <c:axId val="416071487"/>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Revenue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43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7290369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Regional</a:t>
            </a:r>
            <a:r>
              <a:rPr lang="en-US" b="1" baseline="0">
                <a:solidFill>
                  <a:schemeClr val="tx1">
                    <a:lumMod val="95000"/>
                    <a:lumOff val="5000"/>
                  </a:schemeClr>
                </a:solidFill>
              </a:rPr>
              <a:t> Sales Performance</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2965735250171924E-2"/>
          <c:y val="0.17171296296296296"/>
          <c:w val="0.67144094128151677"/>
          <c:h val="0.72088764946048411"/>
        </c:manualLayout>
      </c:layout>
      <c:bar3DChart>
        <c:barDir val="bar"/>
        <c:grouping val="stacked"/>
        <c:varyColors val="0"/>
        <c:ser>
          <c:idx val="0"/>
          <c:order val="0"/>
          <c:tx>
            <c:strRef>
              <c:f>Regional_Analysis!$B$3</c:f>
              <c:strCache>
                <c:ptCount val="1"/>
                <c:pt idx="0">
                  <c:v>Total sales</c:v>
                </c:pt>
              </c:strCache>
            </c:strRef>
          </c:tx>
          <c:spPr>
            <a:solidFill>
              <a:schemeClr val="accent6"/>
            </a:solidFill>
            <a:ln>
              <a:noFill/>
            </a:ln>
            <a:effectLst/>
            <a:sp3d/>
          </c:spPr>
          <c:invertIfNegative val="0"/>
          <c:dLbls>
            <c:dLbl>
              <c:idx val="0"/>
              <c:layout>
                <c:manualLayout>
                  <c:x val="0.67443987197073618"/>
                  <c:y val="-5.09259259259258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F3-499A-BF06-B71DC201AC0D}"/>
                </c:ext>
              </c:extLst>
            </c:dLbl>
            <c:dLbl>
              <c:idx val="1"/>
              <c:layout>
                <c:manualLayout>
                  <c:x val="0.61499771376314571"/>
                  <c:y val="-4.629629629629638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CF3-499A-BF06-B71DC201AC0D}"/>
                </c:ext>
              </c:extLst>
            </c:dLbl>
            <c:dLbl>
              <c:idx val="2"/>
              <c:layout>
                <c:manualLayout>
                  <c:x val="0.41961591220850469"/>
                  <c:y val="-3.703703703703703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F3-499A-BF06-B71DC201AC0D}"/>
                </c:ext>
              </c:extLst>
            </c:dLbl>
            <c:dLbl>
              <c:idx val="3"/>
              <c:layout>
                <c:manualLayout>
                  <c:x val="0.56470050297210794"/>
                  <c:y val="-3.240740740740740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CF3-499A-BF06-B71DC201AC0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Regional_Analysis!$A$4:$A$7</c:f>
              <c:strCache>
                <c:ptCount val="4"/>
                <c:pt idx="0">
                  <c:v>North</c:v>
                </c:pt>
                <c:pt idx="1">
                  <c:v>South</c:v>
                </c:pt>
                <c:pt idx="2">
                  <c:v>East</c:v>
                </c:pt>
                <c:pt idx="3">
                  <c:v>West</c:v>
                </c:pt>
              </c:strCache>
            </c:strRef>
          </c:cat>
          <c:val>
            <c:numRef>
              <c:f>Regional_Analysis!$B$4:$B$7</c:f>
              <c:numCache>
                <c:formatCode>[$₹-439]#,##0.00</c:formatCode>
                <c:ptCount val="4"/>
                <c:pt idx="0">
                  <c:v>3634429197</c:v>
                </c:pt>
                <c:pt idx="1">
                  <c:v>10035166296</c:v>
                </c:pt>
                <c:pt idx="2">
                  <c:v>29224891311</c:v>
                </c:pt>
                <c:pt idx="3">
                  <c:v>14944406940</c:v>
                </c:pt>
              </c:numCache>
            </c:numRef>
          </c:val>
          <c:extLst>
            <c:ext xmlns:c16="http://schemas.microsoft.com/office/drawing/2014/chart" uri="{C3380CC4-5D6E-409C-BE32-E72D297353CC}">
              <c16:uniqueId val="{00000004-CCF3-499A-BF06-B71DC201AC0D}"/>
            </c:ext>
          </c:extLst>
        </c:ser>
        <c:dLbls>
          <c:showLegendKey val="0"/>
          <c:showVal val="0"/>
          <c:showCatName val="0"/>
          <c:showSerName val="0"/>
          <c:showPercent val="0"/>
          <c:showBubbleSize val="0"/>
        </c:dLbls>
        <c:gapWidth val="150"/>
        <c:shape val="box"/>
        <c:axId val="265301727"/>
        <c:axId val="265303167"/>
        <c:axId val="0"/>
      </c:bar3DChart>
      <c:catAx>
        <c:axId val="265301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303167"/>
        <c:crosses val="autoZero"/>
        <c:auto val="1"/>
        <c:lblAlgn val="ctr"/>
        <c:lblOffset val="100"/>
        <c:noMultiLvlLbl val="0"/>
      </c:catAx>
      <c:valAx>
        <c:axId val="265303167"/>
        <c:scaling>
          <c:orientation val="minMax"/>
        </c:scaling>
        <c:delete val="0"/>
        <c:axPos val="b"/>
        <c:majorGridlines>
          <c:spPr>
            <a:ln w="9525" cap="flat" cmpd="sng" algn="ctr">
              <a:solidFill>
                <a:schemeClr val="tx1">
                  <a:lumMod val="15000"/>
                  <a:lumOff val="85000"/>
                </a:schemeClr>
              </a:solidFill>
              <a:round/>
            </a:ln>
            <a:effectLst/>
          </c:spPr>
        </c:majorGridlines>
        <c:numFmt formatCode="[$₹-43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30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dbl" algn="ctr">
      <a:solidFill>
        <a:sysClr val="windowText" lastClr="000000">
          <a:lumMod val="25000"/>
          <a:lumOff val="75000"/>
          <a:alpha val="59000"/>
        </a:sys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Revenue</a:t>
            </a:r>
            <a:r>
              <a:rPr lang="en-US" b="1" baseline="0">
                <a:solidFill>
                  <a:schemeClr val="tx1">
                    <a:lumMod val="95000"/>
                    <a:lumOff val="5000"/>
                  </a:schemeClr>
                </a:solidFill>
              </a:rPr>
              <a:t> by Product Category </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95000"/>
                  <a:lumOff val="5000"/>
                </a:schemeClr>
              </a:solidFill>
              <a:latin typeface="+mn-lt"/>
              <a:ea typeface="+mn-ea"/>
              <a:cs typeface="+mn-cs"/>
            </a:defRPr>
          </a:pPr>
          <a:endParaRPr lang="en-US"/>
        </a:p>
      </c:txPr>
    </c:title>
    <c:autoTitleDeleted val="0"/>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Product_Analysis!$B$3</c:f>
              <c:strCache>
                <c:ptCount val="1"/>
                <c:pt idx="0">
                  <c:v>Total sales</c:v>
                </c:pt>
              </c:strCache>
            </c:strRef>
          </c:tx>
          <c:spPr>
            <a:solidFill>
              <a:srgbClr val="92D050"/>
            </a:solidFill>
          </c:spPr>
          <c:dPt>
            <c:idx val="0"/>
            <c:bubble3D val="0"/>
            <c:spPr>
              <a:solidFill>
                <a:schemeClr val="accent1">
                  <a:lumMod val="60000"/>
                  <a:lumOff val="40000"/>
                </a:schemeClr>
              </a:solidFill>
              <a:ln w="19050">
                <a:solidFill>
                  <a:schemeClr val="lt1"/>
                </a:solidFill>
              </a:ln>
              <a:effectLst/>
              <a:sp3d contourW="19050">
                <a:contourClr>
                  <a:schemeClr val="lt1"/>
                </a:contourClr>
              </a:sp3d>
            </c:spPr>
            <c:extLst>
              <c:ext xmlns:c16="http://schemas.microsoft.com/office/drawing/2014/chart" uri="{C3380CC4-5D6E-409C-BE32-E72D297353CC}">
                <c16:uniqueId val="{00000001-CA64-4630-8275-C1031BE4C3D0}"/>
              </c:ext>
            </c:extLst>
          </c:dPt>
          <c:dPt>
            <c:idx val="1"/>
            <c:bubble3D val="0"/>
            <c:spPr>
              <a:solidFill>
                <a:schemeClr val="accent6">
                  <a:lumMod val="60000"/>
                  <a:lumOff val="40000"/>
                </a:schemeClr>
              </a:solidFill>
              <a:ln w="19050">
                <a:solidFill>
                  <a:schemeClr val="lt1"/>
                </a:solidFill>
              </a:ln>
              <a:effectLst/>
              <a:sp3d contourW="19050">
                <a:contourClr>
                  <a:schemeClr val="lt1"/>
                </a:contourClr>
              </a:sp3d>
            </c:spPr>
            <c:extLst>
              <c:ext xmlns:c16="http://schemas.microsoft.com/office/drawing/2014/chart" uri="{C3380CC4-5D6E-409C-BE32-E72D297353CC}">
                <c16:uniqueId val="{00000003-CA64-4630-8275-C1031BE4C3D0}"/>
              </c:ext>
            </c:extLst>
          </c:dPt>
          <c:dPt>
            <c:idx val="2"/>
            <c:bubble3D val="0"/>
            <c:spPr>
              <a:solidFill>
                <a:schemeClr val="accent2">
                  <a:lumMod val="60000"/>
                  <a:lumOff val="40000"/>
                </a:schemeClr>
              </a:solidFill>
              <a:ln w="19050">
                <a:solidFill>
                  <a:schemeClr val="lt1"/>
                </a:solidFill>
              </a:ln>
              <a:effectLst/>
              <a:sp3d contourW="19050">
                <a:contourClr>
                  <a:schemeClr val="lt1"/>
                </a:contourClr>
              </a:sp3d>
            </c:spPr>
            <c:extLst>
              <c:ext xmlns:c16="http://schemas.microsoft.com/office/drawing/2014/chart" uri="{C3380CC4-5D6E-409C-BE32-E72D297353CC}">
                <c16:uniqueId val="{00000005-CA64-4630-8275-C1031BE4C3D0}"/>
              </c:ext>
            </c:extLst>
          </c:dPt>
          <c:dLbls>
            <c:dLbl>
              <c:idx val="0"/>
              <c:spPr>
                <a:solidFill>
                  <a:sysClr val="window" lastClr="FFFFFF"/>
                </a:solidFill>
                <a:ln>
                  <a:solidFill>
                    <a:sysClr val="windowText" lastClr="000000">
                      <a:lumMod val="50000"/>
                      <a:lumOff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CA64-4630-8275-C1031BE4C3D0}"/>
                </c:ext>
              </c:extLst>
            </c:dLbl>
            <c:dLbl>
              <c:idx val="1"/>
              <c:spPr>
                <a:solidFill>
                  <a:sysClr val="window" lastClr="FFFFFF"/>
                </a:solidFill>
                <a:ln>
                  <a:solidFill>
                    <a:sysClr val="windowText" lastClr="000000">
                      <a:lumMod val="50000"/>
                      <a:lumOff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CA64-4630-8275-C1031BE4C3D0}"/>
                </c:ext>
              </c:extLst>
            </c:dLbl>
            <c:spPr>
              <a:solidFill>
                <a:sysClr val="window" lastClr="FFFFFF"/>
              </a:solidFill>
              <a:ln>
                <a:solidFill>
                  <a:sysClr val="windowText" lastClr="000000">
                    <a:lumMod val="50000"/>
                    <a:lumOff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Product_Analysis!$A$4:$A$6</c:f>
              <c:strCache>
                <c:ptCount val="3"/>
                <c:pt idx="0">
                  <c:v>Mobile</c:v>
                </c:pt>
                <c:pt idx="1">
                  <c:v>Laptop</c:v>
                </c:pt>
                <c:pt idx="2">
                  <c:v>Accessories</c:v>
                </c:pt>
              </c:strCache>
            </c:strRef>
          </c:cat>
          <c:val>
            <c:numRef>
              <c:f>Product_Analysis!$B$4:$B$6</c:f>
              <c:numCache>
                <c:formatCode>[$₹-439]#,##0.00</c:formatCode>
                <c:ptCount val="3"/>
                <c:pt idx="0">
                  <c:v>16622247067</c:v>
                </c:pt>
                <c:pt idx="1">
                  <c:v>36058258337</c:v>
                </c:pt>
                <c:pt idx="2">
                  <c:v>5158388340</c:v>
                </c:pt>
              </c:numCache>
            </c:numRef>
          </c:val>
          <c:extLst>
            <c:ext xmlns:c16="http://schemas.microsoft.com/office/drawing/2014/chart" uri="{C3380CC4-5D6E-409C-BE32-E72D297353CC}">
              <c16:uniqueId val="{00000006-CA64-4630-8275-C1031BE4C3D0}"/>
            </c:ext>
          </c:extLst>
        </c:ser>
        <c:dLbls>
          <c:showLegendKey val="0"/>
          <c:showVal val="0"/>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396798</xdr:colOff>
      <xdr:row>1</xdr:row>
      <xdr:rowOff>100918</xdr:rowOff>
    </xdr:from>
    <xdr:to>
      <xdr:col>16</xdr:col>
      <xdr:colOff>37170</xdr:colOff>
      <xdr:row>23</xdr:row>
      <xdr:rowOff>130098</xdr:rowOff>
    </xdr:to>
    <xdr:graphicFrame macro="">
      <xdr:nvGraphicFramePr>
        <xdr:cNvPr id="2" name="Chart 1">
          <a:extLst>
            <a:ext uri="{FF2B5EF4-FFF2-40B4-BE49-F238E27FC236}">
              <a16:creationId xmlns:a16="http://schemas.microsoft.com/office/drawing/2014/main" id="{900454ED-9549-E4C8-103D-10840F8546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371707</xdr:colOff>
      <xdr:row>26</xdr:row>
      <xdr:rowOff>74340</xdr:rowOff>
    </xdr:from>
    <xdr:to>
      <xdr:col>16</xdr:col>
      <xdr:colOff>0</xdr:colOff>
      <xdr:row>48</xdr:row>
      <xdr:rowOff>92926</xdr:rowOff>
    </xdr:to>
    <xdr:graphicFrame macro="">
      <xdr:nvGraphicFramePr>
        <xdr:cNvPr id="3" name="Chart 2">
          <a:extLst>
            <a:ext uri="{FF2B5EF4-FFF2-40B4-BE49-F238E27FC236}">
              <a16:creationId xmlns:a16="http://schemas.microsoft.com/office/drawing/2014/main" id="{593FE80E-D9F4-4496-BF06-AA879A16ED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359434</xdr:colOff>
      <xdr:row>50</xdr:row>
      <xdr:rowOff>86265</xdr:rowOff>
    </xdr:from>
    <xdr:to>
      <xdr:col>15</xdr:col>
      <xdr:colOff>546339</xdr:colOff>
      <xdr:row>69</xdr:row>
      <xdr:rowOff>158151</xdr:rowOff>
    </xdr:to>
    <xdr:graphicFrame macro="">
      <xdr:nvGraphicFramePr>
        <xdr:cNvPr id="4" name="Chart 3">
          <a:extLst>
            <a:ext uri="{FF2B5EF4-FFF2-40B4-BE49-F238E27FC236}">
              <a16:creationId xmlns:a16="http://schemas.microsoft.com/office/drawing/2014/main" id="{2BBA3482-4C15-4219-87D9-1047C2338D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1EFBB-4707-44B4-8911-3D9B1235F5FB}">
  <dimension ref="A1:M116"/>
  <sheetViews>
    <sheetView topLeftCell="A49" zoomScale="76" zoomScaleNormal="100" workbookViewId="0">
      <selection activeCell="G71" sqref="G71"/>
    </sheetView>
  </sheetViews>
  <sheetFormatPr defaultRowHeight="14.4" x14ac:dyDescent="0.3"/>
  <cols>
    <col min="1" max="1" width="9" customWidth="1"/>
    <col min="2" max="2" width="10.5546875" bestFit="1" customWidth="1"/>
    <col min="4" max="4" width="9.33203125" customWidth="1"/>
    <col min="5" max="5" width="16.33203125" bestFit="1" customWidth="1"/>
    <col min="6" max="6" width="20.109375" bestFit="1" customWidth="1"/>
    <col min="7" max="7" width="11" bestFit="1" customWidth="1"/>
    <col min="8" max="8" width="17" customWidth="1"/>
    <col min="9" max="9" width="9.44140625" customWidth="1"/>
    <col min="10" max="10" width="28.44140625" customWidth="1"/>
    <col min="11" max="11" width="23.44140625" customWidth="1"/>
    <col min="12" max="12" width="8.88671875" customWidth="1"/>
    <col min="13" max="13" width="0.109375" customWidth="1"/>
    <col min="15" max="15" width="47.88671875" customWidth="1"/>
  </cols>
  <sheetData>
    <row r="1" spans="1:13" x14ac:dyDescent="0.3">
      <c r="A1" s="34" t="s">
        <v>0</v>
      </c>
      <c r="B1" s="34"/>
      <c r="C1" s="34"/>
      <c r="D1" s="34"/>
      <c r="E1" s="34"/>
      <c r="F1" s="34"/>
      <c r="G1" s="34"/>
      <c r="H1" s="34"/>
      <c r="I1" s="34"/>
      <c r="J1" s="34"/>
      <c r="K1" s="34"/>
      <c r="L1" s="34"/>
      <c r="M1" s="34"/>
    </row>
    <row r="2" spans="1:13" x14ac:dyDescent="0.3">
      <c r="A2" s="1" t="s">
        <v>1</v>
      </c>
      <c r="B2" s="1" t="s">
        <v>2</v>
      </c>
      <c r="C2" s="1" t="s">
        <v>3</v>
      </c>
      <c r="D2" s="1" t="s">
        <v>4</v>
      </c>
      <c r="E2" s="1" t="s">
        <v>5</v>
      </c>
      <c r="F2" s="1" t="s">
        <v>6</v>
      </c>
      <c r="G2" s="1" t="s">
        <v>7</v>
      </c>
      <c r="H2" s="1" t="s">
        <v>8</v>
      </c>
      <c r="I2" s="1" t="s">
        <v>9</v>
      </c>
      <c r="J2" s="1" t="s">
        <v>10</v>
      </c>
      <c r="K2" s="1" t="s">
        <v>11</v>
      </c>
    </row>
    <row r="3" spans="1:13" x14ac:dyDescent="0.3">
      <c r="A3" t="s">
        <v>12</v>
      </c>
      <c r="B3" s="2">
        <v>45748</v>
      </c>
      <c r="C3" t="s">
        <v>78</v>
      </c>
      <c r="D3" t="s">
        <v>82</v>
      </c>
      <c r="E3" t="s">
        <v>86</v>
      </c>
      <c r="F3" t="s">
        <v>89</v>
      </c>
      <c r="G3">
        <v>2300</v>
      </c>
      <c r="H3">
        <v>22000</v>
      </c>
      <c r="I3">
        <v>11000</v>
      </c>
      <c r="J3" s="4">
        <f>H3*G3</f>
        <v>50600000</v>
      </c>
      <c r="K3" s="4">
        <f>J3-(I3*G3)</f>
        <v>25300000</v>
      </c>
    </row>
    <row r="4" spans="1:13" x14ac:dyDescent="0.3">
      <c r="A4" t="s">
        <v>13</v>
      </c>
      <c r="B4" s="2">
        <v>45749</v>
      </c>
      <c r="C4" t="s">
        <v>79</v>
      </c>
      <c r="D4" t="s">
        <v>83</v>
      </c>
      <c r="E4" t="s">
        <v>87</v>
      </c>
      <c r="F4" t="s">
        <v>90</v>
      </c>
      <c r="G4">
        <v>45200</v>
      </c>
      <c r="H4">
        <v>2200</v>
      </c>
      <c r="I4">
        <v>1100</v>
      </c>
      <c r="J4" s="4">
        <f t="shared" ref="J4:J67" si="0">H4*G4</f>
        <v>99440000</v>
      </c>
      <c r="K4" s="4">
        <f t="shared" ref="K4:K67" si="1">J4-(I4*G4)</f>
        <v>49720000</v>
      </c>
    </row>
    <row r="5" spans="1:13" x14ac:dyDescent="0.3">
      <c r="A5" t="s">
        <v>14</v>
      </c>
      <c r="B5" s="2">
        <v>45750</v>
      </c>
      <c r="C5" t="s">
        <v>78</v>
      </c>
      <c r="D5" t="s">
        <v>84</v>
      </c>
      <c r="E5" t="s">
        <v>88</v>
      </c>
      <c r="F5" t="s">
        <v>105</v>
      </c>
      <c r="G5">
        <v>1000</v>
      </c>
      <c r="H5">
        <v>85000</v>
      </c>
      <c r="I5">
        <v>66000</v>
      </c>
      <c r="J5" s="4">
        <f t="shared" si="0"/>
        <v>85000000</v>
      </c>
      <c r="K5" s="4">
        <f t="shared" si="1"/>
        <v>19000000</v>
      </c>
    </row>
    <row r="6" spans="1:13" x14ac:dyDescent="0.3">
      <c r="A6" t="s">
        <v>15</v>
      </c>
      <c r="B6" s="2">
        <v>45751</v>
      </c>
      <c r="C6" t="s">
        <v>80</v>
      </c>
      <c r="D6" t="s">
        <v>85</v>
      </c>
      <c r="E6" t="s">
        <v>88</v>
      </c>
      <c r="F6" t="s">
        <v>106</v>
      </c>
      <c r="G6">
        <v>25650</v>
      </c>
      <c r="H6">
        <v>35000</v>
      </c>
      <c r="I6">
        <v>13000</v>
      </c>
      <c r="J6" s="4">
        <f t="shared" si="0"/>
        <v>897750000</v>
      </c>
      <c r="K6" s="4">
        <f t="shared" si="1"/>
        <v>564300000</v>
      </c>
    </row>
    <row r="7" spans="1:13" x14ac:dyDescent="0.3">
      <c r="A7" t="s">
        <v>16</v>
      </c>
      <c r="B7" s="2">
        <v>45752</v>
      </c>
      <c r="C7" t="s">
        <v>79</v>
      </c>
      <c r="D7" t="s">
        <v>85</v>
      </c>
      <c r="E7" t="s">
        <v>88</v>
      </c>
      <c r="F7" t="s">
        <v>107</v>
      </c>
      <c r="G7">
        <v>1234</v>
      </c>
      <c r="H7">
        <v>64500</v>
      </c>
      <c r="I7">
        <v>45000</v>
      </c>
      <c r="J7" s="4">
        <f t="shared" si="0"/>
        <v>79593000</v>
      </c>
      <c r="K7" s="4">
        <f t="shared" si="1"/>
        <v>24063000</v>
      </c>
    </row>
    <row r="8" spans="1:13" x14ac:dyDescent="0.3">
      <c r="A8" t="s">
        <v>17</v>
      </c>
      <c r="B8" s="2">
        <v>45753</v>
      </c>
      <c r="C8" t="s">
        <v>81</v>
      </c>
      <c r="D8" t="s">
        <v>83</v>
      </c>
      <c r="E8" t="s">
        <v>86</v>
      </c>
      <c r="F8" t="s">
        <v>94</v>
      </c>
      <c r="G8">
        <v>25640</v>
      </c>
      <c r="H8">
        <v>24000</v>
      </c>
      <c r="I8">
        <v>15200</v>
      </c>
      <c r="J8" s="4">
        <f t="shared" si="0"/>
        <v>615360000</v>
      </c>
      <c r="K8" s="4">
        <f t="shared" si="1"/>
        <v>225632000</v>
      </c>
    </row>
    <row r="9" spans="1:13" x14ac:dyDescent="0.3">
      <c r="A9" t="s">
        <v>18</v>
      </c>
      <c r="B9" s="2">
        <v>45754</v>
      </c>
      <c r="C9" t="s">
        <v>79</v>
      </c>
      <c r="D9" t="s">
        <v>84</v>
      </c>
      <c r="E9" t="s">
        <v>87</v>
      </c>
      <c r="F9" t="s">
        <v>95</v>
      </c>
      <c r="G9">
        <v>8907</v>
      </c>
      <c r="H9">
        <v>30000</v>
      </c>
      <c r="I9">
        <v>17000</v>
      </c>
      <c r="J9" s="4">
        <f t="shared" si="0"/>
        <v>267210000</v>
      </c>
      <c r="K9" s="4">
        <f t="shared" si="1"/>
        <v>115791000</v>
      </c>
    </row>
    <row r="10" spans="1:13" x14ac:dyDescent="0.3">
      <c r="A10" t="s">
        <v>19</v>
      </c>
      <c r="B10" s="2">
        <v>45755</v>
      </c>
      <c r="C10" t="s">
        <v>81</v>
      </c>
      <c r="D10" t="s">
        <v>82</v>
      </c>
      <c r="E10" t="s">
        <v>88</v>
      </c>
      <c r="F10" t="s">
        <v>108</v>
      </c>
      <c r="G10">
        <v>6805</v>
      </c>
      <c r="H10">
        <v>85000</v>
      </c>
      <c r="I10">
        <v>66000</v>
      </c>
      <c r="J10" s="4">
        <f t="shared" si="0"/>
        <v>578425000</v>
      </c>
      <c r="K10" s="4">
        <f t="shared" si="1"/>
        <v>129295000</v>
      </c>
    </row>
    <row r="11" spans="1:13" x14ac:dyDescent="0.3">
      <c r="A11" t="s">
        <v>20</v>
      </c>
      <c r="B11" s="2">
        <v>45756</v>
      </c>
      <c r="C11" t="s">
        <v>80</v>
      </c>
      <c r="D11" t="s">
        <v>83</v>
      </c>
      <c r="E11" t="s">
        <v>86</v>
      </c>
      <c r="F11" t="s">
        <v>97</v>
      </c>
      <c r="G11">
        <v>41012</v>
      </c>
      <c r="H11">
        <v>27000</v>
      </c>
      <c r="I11">
        <v>16000</v>
      </c>
      <c r="J11" s="4">
        <f t="shared" si="0"/>
        <v>1107324000</v>
      </c>
      <c r="K11" s="4">
        <f t="shared" si="1"/>
        <v>451132000</v>
      </c>
    </row>
    <row r="12" spans="1:13" x14ac:dyDescent="0.3">
      <c r="A12" t="s">
        <v>21</v>
      </c>
      <c r="B12" s="2">
        <v>45757</v>
      </c>
      <c r="C12" t="s">
        <v>78</v>
      </c>
      <c r="D12" t="s">
        <v>84</v>
      </c>
      <c r="E12" t="s">
        <v>87</v>
      </c>
      <c r="F12" t="s">
        <v>98</v>
      </c>
      <c r="G12">
        <v>3425</v>
      </c>
      <c r="H12">
        <v>4200</v>
      </c>
      <c r="I12">
        <v>2500</v>
      </c>
      <c r="J12" s="4">
        <f t="shared" si="0"/>
        <v>14385000</v>
      </c>
      <c r="K12" s="4">
        <f t="shared" si="1"/>
        <v>5822500</v>
      </c>
    </row>
    <row r="13" spans="1:13" x14ac:dyDescent="0.3">
      <c r="A13" t="s">
        <v>22</v>
      </c>
      <c r="B13" s="2">
        <v>45758</v>
      </c>
      <c r="C13" t="s">
        <v>80</v>
      </c>
      <c r="D13" t="s">
        <v>82</v>
      </c>
      <c r="E13" t="s">
        <v>88</v>
      </c>
      <c r="F13" t="s">
        <v>109</v>
      </c>
      <c r="G13">
        <v>6070</v>
      </c>
      <c r="H13">
        <v>54000</v>
      </c>
      <c r="I13">
        <v>30000</v>
      </c>
      <c r="J13" s="4">
        <f t="shared" si="0"/>
        <v>327780000</v>
      </c>
      <c r="K13" s="4">
        <f t="shared" si="1"/>
        <v>145680000</v>
      </c>
    </row>
    <row r="14" spans="1:13" x14ac:dyDescent="0.3">
      <c r="A14" t="s">
        <v>23</v>
      </c>
      <c r="B14" s="2">
        <v>45759</v>
      </c>
      <c r="C14" t="s">
        <v>81</v>
      </c>
      <c r="D14" t="s">
        <v>83</v>
      </c>
      <c r="E14" t="s">
        <v>87</v>
      </c>
      <c r="F14" t="s">
        <v>99</v>
      </c>
      <c r="G14">
        <v>4067</v>
      </c>
      <c r="H14">
        <v>1800</v>
      </c>
      <c r="I14">
        <v>900</v>
      </c>
      <c r="J14" s="4">
        <f t="shared" si="0"/>
        <v>7320600</v>
      </c>
      <c r="K14" s="4">
        <f t="shared" si="1"/>
        <v>3660300</v>
      </c>
    </row>
    <row r="15" spans="1:13" x14ac:dyDescent="0.3">
      <c r="A15" t="s">
        <v>24</v>
      </c>
      <c r="B15" s="2">
        <v>45760</v>
      </c>
      <c r="C15" t="s">
        <v>79</v>
      </c>
      <c r="D15" t="s">
        <v>84</v>
      </c>
      <c r="E15" t="s">
        <v>87</v>
      </c>
      <c r="F15" t="s">
        <v>100</v>
      </c>
      <c r="G15">
        <v>12503</v>
      </c>
      <c r="H15">
        <v>1100</v>
      </c>
      <c r="I15">
        <v>520</v>
      </c>
      <c r="J15" s="4">
        <f t="shared" si="0"/>
        <v>13753300</v>
      </c>
      <c r="K15" s="4">
        <f t="shared" si="1"/>
        <v>7251740</v>
      </c>
    </row>
    <row r="16" spans="1:13" x14ac:dyDescent="0.3">
      <c r="A16" t="s">
        <v>25</v>
      </c>
      <c r="B16" s="2">
        <v>45761</v>
      </c>
      <c r="C16" t="s">
        <v>80</v>
      </c>
      <c r="D16" t="s">
        <v>85</v>
      </c>
      <c r="E16" t="s">
        <v>86</v>
      </c>
      <c r="F16" t="s">
        <v>94</v>
      </c>
      <c r="G16">
        <v>5012</v>
      </c>
      <c r="H16">
        <v>24000</v>
      </c>
      <c r="I16">
        <v>15200</v>
      </c>
      <c r="J16" s="4">
        <f t="shared" si="0"/>
        <v>120288000</v>
      </c>
      <c r="K16" s="4">
        <f t="shared" si="1"/>
        <v>44105600</v>
      </c>
    </row>
    <row r="17" spans="1:11" x14ac:dyDescent="0.3">
      <c r="A17" t="s">
        <v>26</v>
      </c>
      <c r="B17" s="2">
        <v>45762</v>
      </c>
      <c r="C17" t="s">
        <v>80</v>
      </c>
      <c r="D17" t="s">
        <v>84</v>
      </c>
      <c r="E17" t="s">
        <v>86</v>
      </c>
      <c r="F17" t="s">
        <v>95</v>
      </c>
      <c r="G17">
        <v>26501</v>
      </c>
      <c r="H17">
        <v>30000</v>
      </c>
      <c r="I17">
        <v>17000</v>
      </c>
      <c r="J17" s="4">
        <f t="shared" si="0"/>
        <v>795030000</v>
      </c>
      <c r="K17" s="4">
        <f t="shared" si="1"/>
        <v>344513000</v>
      </c>
    </row>
    <row r="18" spans="1:11" x14ac:dyDescent="0.3">
      <c r="A18" t="s">
        <v>27</v>
      </c>
      <c r="B18" s="2">
        <v>45763</v>
      </c>
      <c r="C18" t="s">
        <v>81</v>
      </c>
      <c r="D18" t="s">
        <v>85</v>
      </c>
      <c r="E18" t="s">
        <v>86</v>
      </c>
      <c r="F18" t="s">
        <v>96</v>
      </c>
      <c r="G18">
        <v>24501</v>
      </c>
      <c r="H18">
        <v>40000</v>
      </c>
      <c r="I18">
        <v>22000</v>
      </c>
      <c r="J18" s="4">
        <f t="shared" si="0"/>
        <v>980040000</v>
      </c>
      <c r="K18" s="4">
        <f t="shared" si="1"/>
        <v>441018000</v>
      </c>
    </row>
    <row r="19" spans="1:11" x14ac:dyDescent="0.3">
      <c r="A19" t="s">
        <v>28</v>
      </c>
      <c r="B19" s="2">
        <v>45764</v>
      </c>
      <c r="C19" t="s">
        <v>78</v>
      </c>
      <c r="D19" t="s">
        <v>85</v>
      </c>
      <c r="E19" t="s">
        <v>87</v>
      </c>
      <c r="F19" t="s">
        <v>97</v>
      </c>
      <c r="G19">
        <v>25640</v>
      </c>
      <c r="H19">
        <v>27000</v>
      </c>
      <c r="I19">
        <v>16000</v>
      </c>
      <c r="J19" s="4">
        <f t="shared" si="0"/>
        <v>692280000</v>
      </c>
      <c r="K19" s="4">
        <f t="shared" si="1"/>
        <v>282040000</v>
      </c>
    </row>
    <row r="20" spans="1:11" x14ac:dyDescent="0.3">
      <c r="A20" t="s">
        <v>29</v>
      </c>
      <c r="B20" s="2">
        <v>45765</v>
      </c>
      <c r="C20" t="s">
        <v>79</v>
      </c>
      <c r="D20" t="s">
        <v>83</v>
      </c>
      <c r="E20" t="s">
        <v>87</v>
      </c>
      <c r="F20" t="s">
        <v>98</v>
      </c>
      <c r="G20">
        <v>1254</v>
      </c>
      <c r="H20">
        <v>4200</v>
      </c>
      <c r="I20">
        <v>2500</v>
      </c>
      <c r="J20" s="4">
        <f t="shared" si="0"/>
        <v>5266800</v>
      </c>
      <c r="K20" s="4">
        <f t="shared" si="1"/>
        <v>2131800</v>
      </c>
    </row>
    <row r="21" spans="1:11" x14ac:dyDescent="0.3">
      <c r="A21" t="s">
        <v>30</v>
      </c>
      <c r="B21" s="2">
        <v>45766</v>
      </c>
      <c r="C21" t="s">
        <v>78</v>
      </c>
      <c r="D21" t="s">
        <v>84</v>
      </c>
      <c r="E21" t="s">
        <v>88</v>
      </c>
      <c r="F21" t="s">
        <v>110</v>
      </c>
      <c r="G21">
        <v>12560</v>
      </c>
      <c r="H21">
        <v>64000</v>
      </c>
      <c r="I21">
        <v>27000</v>
      </c>
      <c r="J21" s="4">
        <f t="shared" si="0"/>
        <v>803840000</v>
      </c>
      <c r="K21" s="4">
        <f t="shared" si="1"/>
        <v>464720000</v>
      </c>
    </row>
    <row r="22" spans="1:11" x14ac:dyDescent="0.3">
      <c r="A22" t="s">
        <v>31</v>
      </c>
      <c r="B22" s="2">
        <v>45767</v>
      </c>
      <c r="C22" t="s">
        <v>80</v>
      </c>
      <c r="D22" t="s">
        <v>82</v>
      </c>
      <c r="E22" t="s">
        <v>86</v>
      </c>
      <c r="F22" t="s">
        <v>99</v>
      </c>
      <c r="G22">
        <v>25980</v>
      </c>
      <c r="H22">
        <v>34000</v>
      </c>
      <c r="I22">
        <v>20000</v>
      </c>
      <c r="J22" s="4">
        <f t="shared" si="0"/>
        <v>883320000</v>
      </c>
      <c r="K22" s="4">
        <f t="shared" si="1"/>
        <v>363720000</v>
      </c>
    </row>
    <row r="23" spans="1:11" x14ac:dyDescent="0.3">
      <c r="A23" t="s">
        <v>32</v>
      </c>
      <c r="B23" s="2">
        <v>45768</v>
      </c>
      <c r="C23" t="s">
        <v>79</v>
      </c>
      <c r="D23" t="s">
        <v>83</v>
      </c>
      <c r="E23" t="s">
        <v>88</v>
      </c>
      <c r="F23" t="s">
        <v>110</v>
      </c>
      <c r="G23">
        <v>1250</v>
      </c>
      <c r="H23">
        <v>64000</v>
      </c>
      <c r="I23">
        <v>27000</v>
      </c>
      <c r="J23" s="4">
        <f t="shared" si="0"/>
        <v>80000000</v>
      </c>
      <c r="K23" s="4">
        <f t="shared" si="1"/>
        <v>46250000</v>
      </c>
    </row>
    <row r="24" spans="1:11" x14ac:dyDescent="0.3">
      <c r="A24" t="s">
        <v>33</v>
      </c>
      <c r="B24" s="2">
        <v>45769</v>
      </c>
      <c r="C24" t="s">
        <v>81</v>
      </c>
      <c r="D24" t="s">
        <v>84</v>
      </c>
      <c r="E24" t="s">
        <v>87</v>
      </c>
      <c r="F24" t="s">
        <v>91</v>
      </c>
      <c r="G24">
        <v>2450</v>
      </c>
      <c r="H24">
        <v>14000</v>
      </c>
      <c r="I24">
        <v>8500</v>
      </c>
      <c r="J24" s="4">
        <f t="shared" si="0"/>
        <v>34300000</v>
      </c>
      <c r="K24" s="4">
        <f t="shared" si="1"/>
        <v>13475000</v>
      </c>
    </row>
    <row r="25" spans="1:11" x14ac:dyDescent="0.3">
      <c r="A25" t="s">
        <v>34</v>
      </c>
      <c r="B25" s="2">
        <v>45770</v>
      </c>
      <c r="C25" t="s">
        <v>81</v>
      </c>
      <c r="D25" t="s">
        <v>82</v>
      </c>
      <c r="E25" t="s">
        <v>88</v>
      </c>
      <c r="F25" t="s">
        <v>106</v>
      </c>
      <c r="G25">
        <v>1290</v>
      </c>
      <c r="H25">
        <v>35000</v>
      </c>
      <c r="I25">
        <v>13000</v>
      </c>
      <c r="J25" s="4">
        <f t="shared" si="0"/>
        <v>45150000</v>
      </c>
      <c r="K25" s="4">
        <f t="shared" si="1"/>
        <v>28380000</v>
      </c>
    </row>
    <row r="26" spans="1:11" x14ac:dyDescent="0.3">
      <c r="A26" t="s">
        <v>35</v>
      </c>
      <c r="B26" s="2">
        <v>45771</v>
      </c>
      <c r="C26" t="s">
        <v>80</v>
      </c>
      <c r="D26" t="s">
        <v>83</v>
      </c>
      <c r="E26" t="s">
        <v>86</v>
      </c>
      <c r="F26" t="s">
        <v>93</v>
      </c>
      <c r="G26">
        <v>25904</v>
      </c>
      <c r="H26">
        <v>17000</v>
      </c>
      <c r="I26">
        <v>8000</v>
      </c>
      <c r="J26" s="4">
        <f t="shared" si="0"/>
        <v>440368000</v>
      </c>
      <c r="K26" s="4">
        <f t="shared" si="1"/>
        <v>233136000</v>
      </c>
    </row>
    <row r="27" spans="1:11" x14ac:dyDescent="0.3">
      <c r="A27" t="s">
        <v>36</v>
      </c>
      <c r="B27" s="2">
        <v>45772</v>
      </c>
      <c r="C27" t="s">
        <v>78</v>
      </c>
      <c r="D27" t="s">
        <v>84</v>
      </c>
      <c r="E27" t="s">
        <v>88</v>
      </c>
      <c r="F27" t="s">
        <v>106</v>
      </c>
      <c r="G27">
        <v>12540</v>
      </c>
      <c r="H27">
        <v>35000</v>
      </c>
      <c r="I27">
        <v>13000</v>
      </c>
      <c r="J27" s="4">
        <f t="shared" si="0"/>
        <v>438900000</v>
      </c>
      <c r="K27" s="4">
        <f t="shared" si="1"/>
        <v>275880000</v>
      </c>
    </row>
    <row r="28" spans="1:11" x14ac:dyDescent="0.3">
      <c r="A28" t="s">
        <v>37</v>
      </c>
      <c r="B28" s="2">
        <v>45773</v>
      </c>
      <c r="C28" t="s">
        <v>80</v>
      </c>
      <c r="D28" t="s">
        <v>85</v>
      </c>
      <c r="E28" t="s">
        <v>86</v>
      </c>
      <c r="F28" t="s">
        <v>95</v>
      </c>
      <c r="G28">
        <v>29051</v>
      </c>
      <c r="H28">
        <v>30000</v>
      </c>
      <c r="I28">
        <v>17000</v>
      </c>
      <c r="J28" s="4">
        <f t="shared" si="0"/>
        <v>871530000</v>
      </c>
      <c r="K28" s="4">
        <f t="shared" si="1"/>
        <v>377663000</v>
      </c>
    </row>
    <row r="29" spans="1:11" x14ac:dyDescent="0.3">
      <c r="A29" t="s">
        <v>38</v>
      </c>
      <c r="B29" s="2">
        <v>45774</v>
      </c>
      <c r="C29" t="s">
        <v>81</v>
      </c>
      <c r="D29" t="s">
        <v>83</v>
      </c>
      <c r="E29" t="s">
        <v>87</v>
      </c>
      <c r="F29" t="s">
        <v>96</v>
      </c>
      <c r="G29">
        <v>12540</v>
      </c>
      <c r="H29">
        <v>1024</v>
      </c>
      <c r="I29">
        <v>650</v>
      </c>
      <c r="J29" s="4">
        <f t="shared" si="0"/>
        <v>12840960</v>
      </c>
      <c r="K29" s="4">
        <f t="shared" si="1"/>
        <v>4689960</v>
      </c>
    </row>
    <row r="30" spans="1:11" x14ac:dyDescent="0.3">
      <c r="A30" t="s">
        <v>39</v>
      </c>
      <c r="B30" s="2">
        <v>45775</v>
      </c>
      <c r="C30" t="s">
        <v>79</v>
      </c>
      <c r="D30" t="s">
        <v>84</v>
      </c>
      <c r="E30" t="s">
        <v>88</v>
      </c>
      <c r="F30" t="s">
        <v>111</v>
      </c>
      <c r="G30">
        <v>23102</v>
      </c>
      <c r="H30">
        <v>850000</v>
      </c>
      <c r="I30">
        <v>66000</v>
      </c>
      <c r="J30">
        <f t="shared" si="0"/>
        <v>19636700000</v>
      </c>
      <c r="K30" s="4">
        <f t="shared" si="1"/>
        <v>18111968000</v>
      </c>
    </row>
    <row r="31" spans="1:11" x14ac:dyDescent="0.3">
      <c r="A31" t="s">
        <v>40</v>
      </c>
      <c r="B31" s="2">
        <v>45776</v>
      </c>
      <c r="C31" t="s">
        <v>80</v>
      </c>
      <c r="D31" t="s">
        <v>82</v>
      </c>
      <c r="E31" t="s">
        <v>87</v>
      </c>
      <c r="F31" t="s">
        <v>101</v>
      </c>
      <c r="G31">
        <v>1252</v>
      </c>
      <c r="H31">
        <v>1200</v>
      </c>
      <c r="I31">
        <v>700</v>
      </c>
      <c r="J31" s="4">
        <f t="shared" si="0"/>
        <v>1502400</v>
      </c>
      <c r="K31" s="4">
        <f t="shared" si="1"/>
        <v>626000</v>
      </c>
    </row>
    <row r="32" spans="1:11" x14ac:dyDescent="0.3">
      <c r="A32" t="s">
        <v>41</v>
      </c>
      <c r="B32" s="2">
        <v>45777</v>
      </c>
      <c r="C32" t="s">
        <v>80</v>
      </c>
      <c r="D32" t="s">
        <v>83</v>
      </c>
      <c r="E32" t="s">
        <v>87</v>
      </c>
      <c r="F32" t="s">
        <v>102</v>
      </c>
      <c r="G32">
        <v>2581</v>
      </c>
      <c r="H32">
        <v>1100</v>
      </c>
      <c r="I32">
        <v>600</v>
      </c>
      <c r="J32" s="4">
        <f t="shared" si="0"/>
        <v>2839100</v>
      </c>
      <c r="K32" s="4">
        <f t="shared" si="1"/>
        <v>1290500</v>
      </c>
    </row>
    <row r="33" spans="1:11" x14ac:dyDescent="0.3">
      <c r="A33" t="s">
        <v>42</v>
      </c>
      <c r="B33" s="2">
        <v>45778</v>
      </c>
      <c r="C33" t="s">
        <v>81</v>
      </c>
      <c r="D33" t="s">
        <v>84</v>
      </c>
      <c r="E33" t="s">
        <v>88</v>
      </c>
      <c r="F33" t="s">
        <v>112</v>
      </c>
      <c r="G33">
        <v>9850</v>
      </c>
      <c r="H33">
        <v>54000</v>
      </c>
      <c r="I33">
        <v>30000</v>
      </c>
      <c r="J33" s="4">
        <f t="shared" si="0"/>
        <v>531900000</v>
      </c>
      <c r="K33" s="4">
        <f t="shared" si="1"/>
        <v>236400000</v>
      </c>
    </row>
    <row r="34" spans="1:11" x14ac:dyDescent="0.3">
      <c r="A34" t="s">
        <v>43</v>
      </c>
      <c r="B34" s="2">
        <v>45779</v>
      </c>
      <c r="C34" t="s">
        <v>78</v>
      </c>
      <c r="D34" t="s">
        <v>85</v>
      </c>
      <c r="E34" t="s">
        <v>86</v>
      </c>
      <c r="F34" t="s">
        <v>94</v>
      </c>
      <c r="G34">
        <v>4560</v>
      </c>
      <c r="H34">
        <v>24000</v>
      </c>
      <c r="I34">
        <v>15200</v>
      </c>
      <c r="J34" s="4">
        <f t="shared" si="0"/>
        <v>109440000</v>
      </c>
      <c r="K34" s="4">
        <f t="shared" si="1"/>
        <v>40128000</v>
      </c>
    </row>
    <row r="35" spans="1:11" x14ac:dyDescent="0.3">
      <c r="A35" t="s">
        <v>44</v>
      </c>
      <c r="B35" s="2">
        <v>45780</v>
      </c>
      <c r="C35" t="s">
        <v>78</v>
      </c>
      <c r="D35" t="s">
        <v>84</v>
      </c>
      <c r="E35" t="s">
        <v>88</v>
      </c>
      <c r="F35" t="s">
        <v>112</v>
      </c>
      <c r="G35">
        <v>7580</v>
      </c>
      <c r="H35">
        <v>54000</v>
      </c>
      <c r="I35">
        <v>30000</v>
      </c>
      <c r="J35" s="4">
        <f t="shared" si="0"/>
        <v>409320000</v>
      </c>
      <c r="K35" s="4">
        <f t="shared" si="1"/>
        <v>181920000</v>
      </c>
    </row>
    <row r="36" spans="1:11" x14ac:dyDescent="0.3">
      <c r="A36" t="s">
        <v>45</v>
      </c>
      <c r="B36" s="2">
        <v>45781</v>
      </c>
      <c r="C36" t="s">
        <v>79</v>
      </c>
      <c r="D36" t="s">
        <v>85</v>
      </c>
      <c r="E36" t="s">
        <v>86</v>
      </c>
      <c r="F36" t="s">
        <v>96</v>
      </c>
      <c r="G36">
        <v>1582</v>
      </c>
      <c r="H36">
        <v>40000</v>
      </c>
      <c r="I36">
        <v>22000</v>
      </c>
      <c r="J36" s="4">
        <f t="shared" si="0"/>
        <v>63280000</v>
      </c>
      <c r="K36" s="4">
        <f t="shared" si="1"/>
        <v>28476000</v>
      </c>
    </row>
    <row r="37" spans="1:11" x14ac:dyDescent="0.3">
      <c r="A37" t="s">
        <v>46</v>
      </c>
      <c r="B37" s="2">
        <v>45782</v>
      </c>
      <c r="C37" t="s">
        <v>80</v>
      </c>
      <c r="D37" t="s">
        <v>85</v>
      </c>
      <c r="E37" t="s">
        <v>88</v>
      </c>
      <c r="F37" t="s">
        <v>110</v>
      </c>
      <c r="G37">
        <v>2560</v>
      </c>
      <c r="H37">
        <v>64000</v>
      </c>
      <c r="I37">
        <v>27000</v>
      </c>
      <c r="J37" s="4">
        <f t="shared" si="0"/>
        <v>163840000</v>
      </c>
      <c r="K37" s="4">
        <f t="shared" si="1"/>
        <v>94720000</v>
      </c>
    </row>
    <row r="38" spans="1:11" x14ac:dyDescent="0.3">
      <c r="A38" t="s">
        <v>47</v>
      </c>
      <c r="B38" s="2">
        <v>45783</v>
      </c>
      <c r="C38" t="s">
        <v>81</v>
      </c>
      <c r="D38" t="s">
        <v>83</v>
      </c>
      <c r="E38" t="s">
        <v>86</v>
      </c>
      <c r="F38" t="s">
        <v>101</v>
      </c>
      <c r="G38">
        <v>45021</v>
      </c>
      <c r="H38">
        <v>14000</v>
      </c>
      <c r="I38">
        <v>8000</v>
      </c>
      <c r="J38" s="4">
        <f t="shared" si="0"/>
        <v>630294000</v>
      </c>
      <c r="K38" s="4">
        <f t="shared" si="1"/>
        <v>270126000</v>
      </c>
    </row>
    <row r="39" spans="1:11" x14ac:dyDescent="0.3">
      <c r="A39" t="s">
        <v>48</v>
      </c>
      <c r="B39" s="2">
        <v>45784</v>
      </c>
      <c r="C39" t="s">
        <v>79</v>
      </c>
      <c r="D39" t="s">
        <v>84</v>
      </c>
      <c r="E39" t="s">
        <v>88</v>
      </c>
      <c r="F39" t="s">
        <v>107</v>
      </c>
      <c r="G39">
        <v>2450</v>
      </c>
      <c r="H39">
        <v>64500</v>
      </c>
      <c r="I39">
        <v>45000</v>
      </c>
      <c r="J39" s="4">
        <f t="shared" si="0"/>
        <v>158025000</v>
      </c>
      <c r="K39" s="4">
        <f t="shared" si="1"/>
        <v>47775000</v>
      </c>
    </row>
    <row r="40" spans="1:11" x14ac:dyDescent="0.3">
      <c r="A40" t="s">
        <v>49</v>
      </c>
      <c r="B40" s="2">
        <v>45785</v>
      </c>
      <c r="C40" t="s">
        <v>81</v>
      </c>
      <c r="D40" t="s">
        <v>82</v>
      </c>
      <c r="E40" t="s">
        <v>86</v>
      </c>
      <c r="F40" t="s">
        <v>104</v>
      </c>
      <c r="G40">
        <v>1256</v>
      </c>
      <c r="H40">
        <v>12000</v>
      </c>
      <c r="I40">
        <v>7000</v>
      </c>
      <c r="J40" s="4">
        <f t="shared" si="0"/>
        <v>15072000</v>
      </c>
      <c r="K40" s="4">
        <f t="shared" si="1"/>
        <v>6280000</v>
      </c>
    </row>
    <row r="41" spans="1:11" x14ac:dyDescent="0.3">
      <c r="A41" t="s">
        <v>50</v>
      </c>
      <c r="B41" s="2">
        <v>45786</v>
      </c>
      <c r="C41" t="s">
        <v>79</v>
      </c>
      <c r="D41" t="s">
        <v>83</v>
      </c>
      <c r="E41" t="s">
        <v>88</v>
      </c>
      <c r="F41" t="s">
        <v>107</v>
      </c>
      <c r="G41">
        <v>25690</v>
      </c>
      <c r="H41">
        <v>64500</v>
      </c>
      <c r="I41">
        <v>45000</v>
      </c>
      <c r="J41" s="4">
        <f t="shared" si="0"/>
        <v>1657005000</v>
      </c>
      <c r="K41" s="4">
        <f t="shared" si="1"/>
        <v>500955000</v>
      </c>
    </row>
    <row r="42" spans="1:11" x14ac:dyDescent="0.3">
      <c r="A42" t="s">
        <v>51</v>
      </c>
      <c r="B42" s="2">
        <v>45787</v>
      </c>
      <c r="C42" t="s">
        <v>80</v>
      </c>
      <c r="D42" t="s">
        <v>82</v>
      </c>
      <c r="E42" t="s">
        <v>86</v>
      </c>
      <c r="F42" t="s">
        <v>92</v>
      </c>
      <c r="G42">
        <v>24580</v>
      </c>
      <c r="H42">
        <v>11000</v>
      </c>
      <c r="I42">
        <v>4000</v>
      </c>
      <c r="J42" s="4">
        <f t="shared" si="0"/>
        <v>270380000</v>
      </c>
      <c r="K42" s="4">
        <f t="shared" si="1"/>
        <v>172060000</v>
      </c>
    </row>
    <row r="43" spans="1:11" x14ac:dyDescent="0.3">
      <c r="A43" t="s">
        <v>52</v>
      </c>
      <c r="B43" s="2">
        <v>45788</v>
      </c>
      <c r="C43" t="s">
        <v>78</v>
      </c>
      <c r="D43" t="s">
        <v>83</v>
      </c>
      <c r="E43" t="s">
        <v>87</v>
      </c>
      <c r="F43" t="s">
        <v>93</v>
      </c>
      <c r="G43">
        <v>2560</v>
      </c>
      <c r="H43">
        <v>8000</v>
      </c>
      <c r="I43">
        <v>3000</v>
      </c>
      <c r="J43" s="4">
        <f t="shared" si="0"/>
        <v>20480000</v>
      </c>
      <c r="K43" s="4">
        <f t="shared" si="1"/>
        <v>12800000</v>
      </c>
    </row>
    <row r="44" spans="1:11" x14ac:dyDescent="0.3">
      <c r="A44" t="s">
        <v>53</v>
      </c>
      <c r="B44" s="2">
        <v>45789</v>
      </c>
      <c r="C44" t="s">
        <v>79</v>
      </c>
      <c r="D44" t="s">
        <v>84</v>
      </c>
      <c r="E44" t="s">
        <v>87</v>
      </c>
      <c r="F44" t="s">
        <v>94</v>
      </c>
      <c r="G44">
        <v>1547</v>
      </c>
      <c r="H44">
        <v>7000</v>
      </c>
      <c r="I44">
        <v>5000</v>
      </c>
      <c r="J44" s="4">
        <f t="shared" si="0"/>
        <v>10829000</v>
      </c>
      <c r="K44" s="4">
        <f t="shared" si="1"/>
        <v>3094000</v>
      </c>
    </row>
    <row r="45" spans="1:11" x14ac:dyDescent="0.3">
      <c r="A45" t="s">
        <v>54</v>
      </c>
      <c r="B45" s="2">
        <v>45790</v>
      </c>
      <c r="C45" t="s">
        <v>80</v>
      </c>
      <c r="D45" t="s">
        <v>85</v>
      </c>
      <c r="E45" t="s">
        <v>86</v>
      </c>
      <c r="F45" t="s">
        <v>95</v>
      </c>
      <c r="G45">
        <v>7890</v>
      </c>
      <c r="H45">
        <v>30000</v>
      </c>
      <c r="I45">
        <v>17000</v>
      </c>
      <c r="J45" s="4">
        <f t="shared" si="0"/>
        <v>236700000</v>
      </c>
      <c r="K45" s="4">
        <f t="shared" si="1"/>
        <v>102570000</v>
      </c>
    </row>
    <row r="46" spans="1:11" x14ac:dyDescent="0.3">
      <c r="A46" t="s">
        <v>55</v>
      </c>
      <c r="B46" s="2">
        <v>45791</v>
      </c>
      <c r="C46" t="s">
        <v>78</v>
      </c>
      <c r="D46" t="s">
        <v>85</v>
      </c>
      <c r="E46" t="s">
        <v>88</v>
      </c>
      <c r="F46" t="s">
        <v>106</v>
      </c>
      <c r="G46">
        <v>8950</v>
      </c>
      <c r="H46">
        <v>35000</v>
      </c>
      <c r="I46">
        <v>13000</v>
      </c>
      <c r="J46" s="4">
        <f t="shared" si="0"/>
        <v>313250000</v>
      </c>
      <c r="K46" s="4">
        <f t="shared" si="1"/>
        <v>196900000</v>
      </c>
    </row>
    <row r="47" spans="1:11" x14ac:dyDescent="0.3">
      <c r="A47" t="s">
        <v>56</v>
      </c>
      <c r="B47" s="2">
        <v>45792</v>
      </c>
      <c r="C47" t="s">
        <v>79</v>
      </c>
      <c r="D47" t="s">
        <v>83</v>
      </c>
      <c r="E47" t="s">
        <v>87</v>
      </c>
      <c r="F47" t="s">
        <v>101</v>
      </c>
      <c r="G47">
        <v>7890</v>
      </c>
      <c r="H47">
        <v>700</v>
      </c>
      <c r="I47">
        <v>450</v>
      </c>
      <c r="J47" s="4">
        <f t="shared" si="0"/>
        <v>5523000</v>
      </c>
      <c r="K47" s="4">
        <f t="shared" si="1"/>
        <v>1972500</v>
      </c>
    </row>
    <row r="48" spans="1:11" x14ac:dyDescent="0.3">
      <c r="A48" t="s">
        <v>57</v>
      </c>
      <c r="B48" s="2">
        <v>45793</v>
      </c>
      <c r="C48" t="s">
        <v>81</v>
      </c>
      <c r="D48" t="s">
        <v>84</v>
      </c>
      <c r="E48" t="s">
        <v>86</v>
      </c>
      <c r="F48" t="s">
        <v>101</v>
      </c>
      <c r="G48">
        <v>5690</v>
      </c>
      <c r="H48">
        <v>13500</v>
      </c>
      <c r="I48">
        <v>5000</v>
      </c>
      <c r="J48" s="4">
        <f t="shared" si="0"/>
        <v>76815000</v>
      </c>
      <c r="K48" s="4">
        <f t="shared" si="1"/>
        <v>48365000</v>
      </c>
    </row>
    <row r="49" spans="1:11" x14ac:dyDescent="0.3">
      <c r="A49" t="s">
        <v>58</v>
      </c>
      <c r="B49" s="2">
        <v>45794</v>
      </c>
      <c r="C49" t="s">
        <v>80</v>
      </c>
      <c r="D49" t="s">
        <v>82</v>
      </c>
      <c r="E49" t="s">
        <v>88</v>
      </c>
      <c r="F49" t="s">
        <v>108</v>
      </c>
      <c r="G49">
        <v>25410</v>
      </c>
      <c r="H49">
        <v>85000</v>
      </c>
      <c r="I49">
        <v>66000</v>
      </c>
      <c r="J49" s="4">
        <f t="shared" si="0"/>
        <v>2159850000</v>
      </c>
      <c r="K49" s="4">
        <f t="shared" si="1"/>
        <v>482790000</v>
      </c>
    </row>
    <row r="50" spans="1:11" x14ac:dyDescent="0.3">
      <c r="A50" t="s">
        <v>59</v>
      </c>
      <c r="B50" s="2">
        <v>45795</v>
      </c>
      <c r="C50" t="s">
        <v>78</v>
      </c>
      <c r="D50" t="s">
        <v>83</v>
      </c>
      <c r="E50" t="s">
        <v>87</v>
      </c>
      <c r="F50" t="s">
        <v>93</v>
      </c>
      <c r="G50">
        <v>24516</v>
      </c>
      <c r="H50">
        <v>8000</v>
      </c>
      <c r="I50">
        <v>3000</v>
      </c>
      <c r="J50" s="4">
        <f t="shared" si="0"/>
        <v>196128000</v>
      </c>
      <c r="K50" s="4">
        <f t="shared" si="1"/>
        <v>122580000</v>
      </c>
    </row>
    <row r="51" spans="1:11" x14ac:dyDescent="0.3">
      <c r="A51" t="s">
        <v>60</v>
      </c>
      <c r="B51" s="2">
        <v>45796</v>
      </c>
      <c r="C51" t="s">
        <v>80</v>
      </c>
      <c r="D51" t="s">
        <v>84</v>
      </c>
      <c r="E51" t="s">
        <v>87</v>
      </c>
      <c r="F51" t="s">
        <v>94</v>
      </c>
      <c r="G51">
        <v>24561</v>
      </c>
      <c r="H51">
        <v>1500</v>
      </c>
      <c r="I51">
        <v>850</v>
      </c>
      <c r="J51" s="4">
        <f t="shared" si="0"/>
        <v>36841500</v>
      </c>
      <c r="K51" s="4">
        <f t="shared" si="1"/>
        <v>15964650</v>
      </c>
    </row>
    <row r="52" spans="1:11" x14ac:dyDescent="0.3">
      <c r="A52" t="s">
        <v>61</v>
      </c>
      <c r="B52" s="2">
        <v>45797</v>
      </c>
      <c r="C52" t="s">
        <v>81</v>
      </c>
      <c r="D52" t="s">
        <v>82</v>
      </c>
      <c r="E52" t="s">
        <v>88</v>
      </c>
      <c r="F52" t="s">
        <v>106</v>
      </c>
      <c r="G52">
        <v>21456</v>
      </c>
      <c r="H52">
        <v>35000</v>
      </c>
      <c r="I52">
        <v>13000</v>
      </c>
      <c r="J52" s="4">
        <f t="shared" si="0"/>
        <v>750960000</v>
      </c>
      <c r="K52" s="4">
        <f t="shared" si="1"/>
        <v>472032000</v>
      </c>
    </row>
    <row r="53" spans="1:11" x14ac:dyDescent="0.3">
      <c r="A53" t="s">
        <v>62</v>
      </c>
      <c r="B53" s="2">
        <v>45798</v>
      </c>
      <c r="C53" t="s">
        <v>79</v>
      </c>
      <c r="D53" t="s">
        <v>83</v>
      </c>
      <c r="E53" t="s">
        <v>88</v>
      </c>
      <c r="F53" t="s">
        <v>113</v>
      </c>
      <c r="G53">
        <v>25940</v>
      </c>
      <c r="H53" cm="1">
        <f t="array" ref="H53">_xlfn.XLOOKUP(1,(Product_Master!A:A=E3)*(Product_Master!B:B=F3),Product_Master!C:C)</f>
        <v>2300</v>
      </c>
      <c r="I53" cm="1">
        <f t="array" ref="I53">_xlfn.XLOOKUP(1,(Product_Master!B:B=F3)*(Product_Master!C:C=G3),Product_Master!D:D)</f>
        <v>22000</v>
      </c>
      <c r="J53" s="4">
        <f t="shared" si="0"/>
        <v>59662000</v>
      </c>
      <c r="K53" s="4">
        <f t="shared" si="1"/>
        <v>-511018000</v>
      </c>
    </row>
    <row r="54" spans="1:11" x14ac:dyDescent="0.3">
      <c r="A54" t="s">
        <v>63</v>
      </c>
      <c r="B54" s="2">
        <v>45799</v>
      </c>
      <c r="C54" t="s">
        <v>81</v>
      </c>
      <c r="D54" t="s">
        <v>84</v>
      </c>
      <c r="E54" t="s">
        <v>86</v>
      </c>
      <c r="F54" t="s">
        <v>101</v>
      </c>
      <c r="G54">
        <v>24561</v>
      </c>
      <c r="H54" cm="1">
        <f t="array" ref="H54">_xlfn.XLOOKUP(1,(Product_Master!A:A=E4)*(Product_Master!B:B=F4),Product_Master!C:C)</f>
        <v>45200</v>
      </c>
      <c r="I54" cm="1">
        <f t="array" ref="I54">_xlfn.XLOOKUP(1,(Product_Master!B:B=F4)*(Product_Master!C:C=G4),Product_Master!D:D)</f>
        <v>2200</v>
      </c>
      <c r="J54" s="4">
        <f t="shared" si="0"/>
        <v>1110157200</v>
      </c>
      <c r="K54" s="4">
        <f t="shared" si="1"/>
        <v>1056123000</v>
      </c>
    </row>
    <row r="55" spans="1:11" x14ac:dyDescent="0.3">
      <c r="A55" t="s">
        <v>64</v>
      </c>
      <c r="B55" s="2">
        <v>45800</v>
      </c>
      <c r="C55" t="s">
        <v>78</v>
      </c>
      <c r="D55" t="s">
        <v>85</v>
      </c>
      <c r="E55" t="s">
        <v>86</v>
      </c>
      <c r="F55" t="s">
        <v>101</v>
      </c>
      <c r="G55">
        <v>245661</v>
      </c>
      <c r="H55" cm="1">
        <f t="array" ref="H55">_xlfn.XLOOKUP(1,(Product_Master!A:A=E5)*(Product_Master!B:B=F5),Product_Master!C:C)</f>
        <v>1000</v>
      </c>
      <c r="I55" cm="1">
        <f t="array" ref="I55">_xlfn.XLOOKUP(1,(Product_Master!B:B=F5)*(Product_Master!C:C=G5),Product_Master!D:D)</f>
        <v>85000</v>
      </c>
      <c r="J55" s="4">
        <f t="shared" si="0"/>
        <v>245661000</v>
      </c>
      <c r="K55" s="4">
        <f t="shared" si="1"/>
        <v>-20635524000</v>
      </c>
    </row>
    <row r="56" spans="1:11" x14ac:dyDescent="0.3">
      <c r="A56" t="s">
        <v>65</v>
      </c>
      <c r="B56" s="2">
        <v>45801</v>
      </c>
      <c r="C56" t="s">
        <v>80</v>
      </c>
      <c r="D56" t="s">
        <v>84</v>
      </c>
      <c r="E56" t="s">
        <v>86</v>
      </c>
      <c r="F56" t="s">
        <v>103</v>
      </c>
      <c r="G56">
        <v>25610</v>
      </c>
      <c r="H56" cm="1">
        <f t="array" ref="H56">_xlfn.XLOOKUP(1,(Product_Master!A:A=E6)*(Product_Master!B:B=F6),Product_Master!C:C)</f>
        <v>25650</v>
      </c>
      <c r="I56" cm="1">
        <f t="array" ref="I56">_xlfn.XLOOKUP(1,(Product_Master!B:B=F6)*(Product_Master!C:C=G6),Product_Master!D:D)</f>
        <v>35000</v>
      </c>
      <c r="J56" s="4">
        <f t="shared" si="0"/>
        <v>656896500</v>
      </c>
      <c r="K56" s="4">
        <f t="shared" si="1"/>
        <v>-239453500</v>
      </c>
    </row>
    <row r="57" spans="1:11" x14ac:dyDescent="0.3">
      <c r="A57" t="s">
        <v>66</v>
      </c>
      <c r="B57" s="2">
        <v>45802</v>
      </c>
      <c r="C57" t="s">
        <v>81</v>
      </c>
      <c r="D57" t="s">
        <v>84</v>
      </c>
      <c r="E57" t="s">
        <v>88</v>
      </c>
      <c r="F57" t="s">
        <v>114</v>
      </c>
      <c r="G57">
        <v>245610</v>
      </c>
      <c r="H57" cm="1">
        <f t="array" ref="H57">_xlfn.XLOOKUP(1,(Product_Master!A:A=E7)*(Product_Master!B:B=F7),Product_Master!C:C)</f>
        <v>1234</v>
      </c>
      <c r="I57" cm="1">
        <f t="array" ref="I57">_xlfn.XLOOKUP(1,(Product_Master!B:B=F7)*(Product_Master!C:C=G7),Product_Master!D:D)</f>
        <v>64500</v>
      </c>
      <c r="J57" s="4">
        <f t="shared" si="0"/>
        <v>303082740</v>
      </c>
      <c r="K57" s="4">
        <f t="shared" si="1"/>
        <v>-15538762260</v>
      </c>
    </row>
    <row r="58" spans="1:11" x14ac:dyDescent="0.3">
      <c r="A58" t="s">
        <v>67</v>
      </c>
      <c r="B58" s="2">
        <v>45803</v>
      </c>
      <c r="C58" t="s">
        <v>79</v>
      </c>
      <c r="D58" t="s">
        <v>82</v>
      </c>
      <c r="E58" t="s">
        <v>88</v>
      </c>
      <c r="F58" t="s">
        <v>112</v>
      </c>
      <c r="G58">
        <v>246610</v>
      </c>
      <c r="H58" cm="1">
        <f t="array" ref="H58">_xlfn.XLOOKUP(1,(Product_Master!A:A=E8)*(Product_Master!B:B=F8),Product_Master!C:C)</f>
        <v>25640</v>
      </c>
      <c r="I58" cm="1">
        <f t="array" ref="I58">_xlfn.XLOOKUP(1,(Product_Master!B:B=F8)*(Product_Master!C:C=G8),Product_Master!D:D)</f>
        <v>24000</v>
      </c>
      <c r="J58" s="4">
        <f t="shared" si="0"/>
        <v>6323080400</v>
      </c>
      <c r="K58" s="4">
        <f t="shared" si="1"/>
        <v>404440400</v>
      </c>
    </row>
    <row r="59" spans="1:11" x14ac:dyDescent="0.3">
      <c r="A59" t="s">
        <v>68</v>
      </c>
      <c r="B59" s="2">
        <v>45804</v>
      </c>
      <c r="C59" t="s">
        <v>81</v>
      </c>
      <c r="D59" t="s">
        <v>83</v>
      </c>
      <c r="E59" t="s">
        <v>87</v>
      </c>
      <c r="F59" t="s">
        <v>94</v>
      </c>
      <c r="G59">
        <v>246510</v>
      </c>
      <c r="H59" cm="1">
        <f t="array" ref="H59">_xlfn.XLOOKUP(1,(Product_Master!A:A=E9)*(Product_Master!B:B=F9),Product_Master!C:C)</f>
        <v>8907</v>
      </c>
      <c r="I59" cm="1">
        <f t="array" ref="I59">_xlfn.XLOOKUP(1,(Product_Master!B:B=F9)*(Product_Master!C:C=G9),Product_Master!D:D)</f>
        <v>30000</v>
      </c>
      <c r="J59" s="4">
        <f t="shared" si="0"/>
        <v>2195664570</v>
      </c>
      <c r="K59" s="4">
        <f t="shared" si="1"/>
        <v>-5199635430</v>
      </c>
    </row>
    <row r="60" spans="1:11" x14ac:dyDescent="0.3">
      <c r="A60" t="s">
        <v>69</v>
      </c>
      <c r="B60" s="2">
        <v>45805</v>
      </c>
      <c r="C60" t="s">
        <v>78</v>
      </c>
      <c r="D60" t="s">
        <v>84</v>
      </c>
      <c r="E60" t="s">
        <v>88</v>
      </c>
      <c r="F60" t="s">
        <v>114</v>
      </c>
      <c r="G60">
        <v>24561</v>
      </c>
      <c r="H60" cm="1">
        <f t="array" ref="H60">_xlfn.XLOOKUP(1,(Product_Master!A:A=E10)*(Product_Master!B:B=F10),Product_Master!C:C)</f>
        <v>6805</v>
      </c>
      <c r="I60" cm="1">
        <f t="array" ref="I60">_xlfn.XLOOKUP(1,(Product_Master!B:B=F10)*(Product_Master!C:C=G10),Product_Master!D:D)</f>
        <v>85000</v>
      </c>
      <c r="J60" s="4">
        <f t="shared" si="0"/>
        <v>167137605</v>
      </c>
      <c r="K60" s="4">
        <f t="shared" si="1"/>
        <v>-1920547395</v>
      </c>
    </row>
    <row r="61" spans="1:11" x14ac:dyDescent="0.3">
      <c r="A61" t="s">
        <v>70</v>
      </c>
      <c r="B61" s="2">
        <v>45806</v>
      </c>
      <c r="C61" t="s">
        <v>80</v>
      </c>
      <c r="D61" t="s">
        <v>85</v>
      </c>
      <c r="E61" t="s">
        <v>86</v>
      </c>
      <c r="F61" t="s">
        <v>96</v>
      </c>
      <c r="G61">
        <v>145620</v>
      </c>
      <c r="H61" cm="1">
        <f t="array" ref="H61">_xlfn.XLOOKUP(1,(Product_Master!A:A=E11)*(Product_Master!B:B=F11),Product_Master!C:C)</f>
        <v>41012</v>
      </c>
      <c r="I61" cm="1">
        <f t="array" ref="I61">_xlfn.XLOOKUP(1,(Product_Master!B:B=F11)*(Product_Master!C:C=G11),Product_Master!D:D)</f>
        <v>27000</v>
      </c>
      <c r="J61" s="4">
        <f t="shared" si="0"/>
        <v>5972167440</v>
      </c>
      <c r="K61" s="4">
        <f t="shared" si="1"/>
        <v>2040427440</v>
      </c>
    </row>
    <row r="62" spans="1:11" x14ac:dyDescent="0.3">
      <c r="A62" t="s">
        <v>71</v>
      </c>
      <c r="B62" s="2">
        <v>45807</v>
      </c>
      <c r="C62" t="s">
        <v>81</v>
      </c>
      <c r="D62" t="s">
        <v>84</v>
      </c>
      <c r="E62" t="s">
        <v>87</v>
      </c>
      <c r="F62" t="s">
        <v>101</v>
      </c>
      <c r="G62">
        <v>245610</v>
      </c>
      <c r="H62" cm="1">
        <f t="array" ref="H62">_xlfn.XLOOKUP(1,(Product_Master!A:A=E12)*(Product_Master!B:B=F12),Product_Master!C:C)</f>
        <v>3425</v>
      </c>
      <c r="I62" cm="1">
        <f t="array" ref="I62">_xlfn.XLOOKUP(1,(Product_Master!B:B=F12)*(Product_Master!C:C=G12),Product_Master!D:D)</f>
        <v>4200</v>
      </c>
      <c r="J62" s="4">
        <f t="shared" si="0"/>
        <v>841214250</v>
      </c>
      <c r="K62" s="4">
        <f t="shared" si="1"/>
        <v>-190347750</v>
      </c>
    </row>
    <row r="63" spans="1:11" x14ac:dyDescent="0.3">
      <c r="A63" t="s">
        <v>72</v>
      </c>
      <c r="B63" s="2">
        <v>45808</v>
      </c>
      <c r="C63" t="s">
        <v>79</v>
      </c>
      <c r="D63" t="s">
        <v>85</v>
      </c>
      <c r="E63" t="s">
        <v>87</v>
      </c>
      <c r="F63" t="s">
        <v>101</v>
      </c>
      <c r="G63">
        <v>24598</v>
      </c>
      <c r="H63" cm="1">
        <f t="array" ref="H63">_xlfn.XLOOKUP(1,(Product_Master!A:A=E13)*(Product_Master!B:B=F13),Product_Master!C:C)</f>
        <v>6070</v>
      </c>
      <c r="I63" cm="1">
        <f t="array" ref="I63">_xlfn.XLOOKUP(1,(Product_Master!B:B=F13)*(Product_Master!C:C=G13),Product_Master!D:D)</f>
        <v>54000</v>
      </c>
      <c r="J63" s="4">
        <f t="shared" si="0"/>
        <v>149309860</v>
      </c>
      <c r="K63" s="4">
        <f t="shared" si="1"/>
        <v>-1178982140</v>
      </c>
    </row>
    <row r="64" spans="1:11" x14ac:dyDescent="0.3">
      <c r="A64" t="s">
        <v>73</v>
      </c>
      <c r="B64" s="2">
        <v>45809</v>
      </c>
      <c r="C64" t="s">
        <v>81</v>
      </c>
      <c r="D64" t="s">
        <v>85</v>
      </c>
      <c r="E64" t="s">
        <v>86</v>
      </c>
      <c r="F64" t="s">
        <v>103</v>
      </c>
      <c r="G64">
        <v>245690</v>
      </c>
      <c r="H64" cm="1">
        <f t="array" ref="H64">_xlfn.XLOOKUP(1,(Product_Master!A:A=E14)*(Product_Master!B:B=F14),Product_Master!C:C)</f>
        <v>4067</v>
      </c>
      <c r="I64" cm="1">
        <f t="array" ref="I64">_xlfn.XLOOKUP(1,(Product_Master!B:B=F14)*(Product_Master!C:C=G14),Product_Master!D:D)</f>
        <v>1800</v>
      </c>
      <c r="J64" s="4">
        <f t="shared" si="0"/>
        <v>999221230</v>
      </c>
      <c r="K64" s="4">
        <f t="shared" si="1"/>
        <v>556979230</v>
      </c>
    </row>
    <row r="65" spans="1:11" x14ac:dyDescent="0.3">
      <c r="A65" t="s">
        <v>74</v>
      </c>
      <c r="B65" s="2">
        <v>45810</v>
      </c>
      <c r="C65" t="s">
        <v>81</v>
      </c>
      <c r="D65" t="s">
        <v>83</v>
      </c>
      <c r="E65" t="s">
        <v>86</v>
      </c>
      <c r="F65" t="s">
        <v>104</v>
      </c>
      <c r="G65">
        <v>24582</v>
      </c>
      <c r="H65" cm="1">
        <f t="array" ref="H65">_xlfn.XLOOKUP(1,(Product_Master!A:A=E15)*(Product_Master!B:B=F15),Product_Master!C:C)</f>
        <v>12503</v>
      </c>
      <c r="I65" cm="1">
        <f t="array" ref="I65">_xlfn.XLOOKUP(1,(Product_Master!B:B=F15)*(Product_Master!C:C=G15),Product_Master!D:D)</f>
        <v>1100</v>
      </c>
      <c r="J65" s="4">
        <f t="shared" si="0"/>
        <v>307348746</v>
      </c>
      <c r="K65" s="4">
        <f t="shared" si="1"/>
        <v>280308546</v>
      </c>
    </row>
    <row r="66" spans="1:11" x14ac:dyDescent="0.3">
      <c r="A66" t="s">
        <v>75</v>
      </c>
      <c r="B66" s="2">
        <v>45811</v>
      </c>
      <c r="C66" t="s">
        <v>79</v>
      </c>
      <c r="D66" t="s">
        <v>84</v>
      </c>
      <c r="E66" t="s">
        <v>87</v>
      </c>
      <c r="F66" t="s">
        <v>91</v>
      </c>
      <c r="G66">
        <v>21500</v>
      </c>
      <c r="H66" cm="1">
        <f t="array" ref="H66">_xlfn.XLOOKUP(1,(Product_Master!A:A=E16)*(Product_Master!B:B=F16),Product_Master!C:C)</f>
        <v>25640</v>
      </c>
      <c r="I66" cm="1">
        <f t="array" ref="I66">_xlfn.XLOOKUP(1,(Product_Master!B:B=F16)*(Product_Master!C:C=G16),Product_Master!D:D)</f>
        <v>24000</v>
      </c>
      <c r="J66" s="4">
        <f t="shared" si="0"/>
        <v>551260000</v>
      </c>
      <c r="K66" s="4">
        <f t="shared" si="1"/>
        <v>35260000</v>
      </c>
    </row>
    <row r="67" spans="1:11" x14ac:dyDescent="0.3">
      <c r="A67" t="s">
        <v>76</v>
      </c>
      <c r="B67" s="2">
        <v>45812</v>
      </c>
      <c r="C67" t="s">
        <v>79</v>
      </c>
      <c r="D67" t="s">
        <v>82</v>
      </c>
      <c r="E67" t="s">
        <v>86</v>
      </c>
      <c r="F67" t="s">
        <v>92</v>
      </c>
      <c r="G67">
        <v>2451</v>
      </c>
      <c r="H67" cm="1">
        <f t="array" ref="H67">_xlfn.XLOOKUP(1,(Product_Master!A:A=E17)*(Product_Master!B:B=F17),Product_Master!C:C)</f>
        <v>26501</v>
      </c>
      <c r="I67" cm="1">
        <f t="array" ref="I67">_xlfn.XLOOKUP(1,(Product_Master!B:B=F17)*(Product_Master!C:C=G17),Product_Master!D:D)</f>
        <v>30000</v>
      </c>
      <c r="J67" s="4">
        <f t="shared" si="0"/>
        <v>64953951</v>
      </c>
      <c r="K67" s="4">
        <f t="shared" si="1"/>
        <v>-8576049</v>
      </c>
    </row>
    <row r="68" spans="1:11" x14ac:dyDescent="0.3">
      <c r="A68" t="s">
        <v>77</v>
      </c>
      <c r="B68" s="2">
        <v>45813</v>
      </c>
      <c r="C68" t="s">
        <v>78</v>
      </c>
      <c r="D68" t="s">
        <v>83</v>
      </c>
      <c r="E68" t="s">
        <v>88</v>
      </c>
      <c r="F68" t="s">
        <v>108</v>
      </c>
      <c r="G68">
        <v>3592</v>
      </c>
      <c r="H68" cm="1">
        <f t="array" ref="H68">_xlfn.XLOOKUP(1,(Product_Master!A:A=E18)*(Product_Master!B:B=F18),Product_Master!C:C)</f>
        <v>24501</v>
      </c>
      <c r="I68" cm="1">
        <f t="array" ref="I68">_xlfn.XLOOKUP(1,(Product_Master!B:B=F18)*(Product_Master!C:C=G18),Product_Master!D:D)</f>
        <v>40000</v>
      </c>
      <c r="J68" s="4">
        <f t="shared" ref="J68" si="2">H68*G68</f>
        <v>88007592</v>
      </c>
      <c r="K68" s="4">
        <f t="shared" ref="K68" si="3">J68-(I68*G68)</f>
        <v>-55672408</v>
      </c>
    </row>
    <row r="69" spans="1:11" x14ac:dyDescent="0.3">
      <c r="J69" s="4"/>
      <c r="K69" s="4"/>
    </row>
    <row r="70" spans="1:11" x14ac:dyDescent="0.3">
      <c r="G70">
        <f>SUM(G3:G68)</f>
        <v>2471526</v>
      </c>
      <c r="J70" s="4">
        <f>SUM(J2:J68)</f>
        <v>57838893744</v>
      </c>
      <c r="K70" s="4">
        <f>SUM(K3:K68)</f>
        <v>-15264817766</v>
      </c>
    </row>
    <row r="71" spans="1:11" x14ac:dyDescent="0.3">
      <c r="J71" s="4"/>
      <c r="K71" s="4"/>
    </row>
    <row r="72" spans="1:11" x14ac:dyDescent="0.3">
      <c r="J72" s="4"/>
      <c r="K72" s="4"/>
    </row>
    <row r="73" spans="1:11" x14ac:dyDescent="0.3">
      <c r="J73" s="4"/>
      <c r="K73" s="4"/>
    </row>
    <row r="74" spans="1:11" x14ac:dyDescent="0.3">
      <c r="J74" s="4"/>
      <c r="K74" s="4"/>
    </row>
    <row r="75" spans="1:11" x14ac:dyDescent="0.3">
      <c r="J75" s="4"/>
      <c r="K75" s="4"/>
    </row>
    <row r="76" spans="1:11" x14ac:dyDescent="0.3">
      <c r="J76" s="4"/>
      <c r="K76" s="4"/>
    </row>
    <row r="77" spans="1:11" x14ac:dyDescent="0.3">
      <c r="J77" s="4"/>
      <c r="K77" s="4"/>
    </row>
    <row r="78" spans="1:11" x14ac:dyDescent="0.3">
      <c r="J78" s="4"/>
      <c r="K78" s="4"/>
    </row>
    <row r="79" spans="1:11" x14ac:dyDescent="0.3">
      <c r="J79" s="4"/>
      <c r="K79" s="4"/>
    </row>
    <row r="80" spans="1:11" x14ac:dyDescent="0.3">
      <c r="J80" s="4"/>
      <c r="K80" s="4"/>
    </row>
    <row r="81" spans="10:11" x14ac:dyDescent="0.3">
      <c r="J81" s="4"/>
      <c r="K81" s="4"/>
    </row>
    <row r="82" spans="10:11" x14ac:dyDescent="0.3">
      <c r="J82" s="4"/>
      <c r="K82" s="4"/>
    </row>
    <row r="83" spans="10:11" x14ac:dyDescent="0.3">
      <c r="J83" s="4"/>
      <c r="K83" s="4"/>
    </row>
    <row r="84" spans="10:11" x14ac:dyDescent="0.3">
      <c r="J84" s="4"/>
      <c r="K84" s="4"/>
    </row>
    <row r="85" spans="10:11" x14ac:dyDescent="0.3">
      <c r="J85" s="4"/>
      <c r="K85" s="4"/>
    </row>
    <row r="86" spans="10:11" x14ac:dyDescent="0.3">
      <c r="J86" s="4"/>
      <c r="K86" s="4"/>
    </row>
    <row r="87" spans="10:11" x14ac:dyDescent="0.3">
      <c r="J87" s="4"/>
      <c r="K87" s="4"/>
    </row>
    <row r="88" spans="10:11" x14ac:dyDescent="0.3">
      <c r="J88" s="4"/>
    </row>
    <row r="89" spans="10:11" x14ac:dyDescent="0.3">
      <c r="J89" s="4"/>
    </row>
    <row r="90" spans="10:11" x14ac:dyDescent="0.3">
      <c r="J90" s="4"/>
    </row>
    <row r="91" spans="10:11" x14ac:dyDescent="0.3">
      <c r="J91" s="4"/>
    </row>
    <row r="92" spans="10:11" x14ac:dyDescent="0.3">
      <c r="J92" s="4"/>
    </row>
    <row r="93" spans="10:11" x14ac:dyDescent="0.3">
      <c r="J93" s="4"/>
    </row>
    <row r="94" spans="10:11" x14ac:dyDescent="0.3">
      <c r="J94" s="4"/>
    </row>
    <row r="95" spans="10:11" x14ac:dyDescent="0.3">
      <c r="J95" s="4"/>
    </row>
    <row r="96" spans="10:11" x14ac:dyDescent="0.3">
      <c r="J96" s="4"/>
    </row>
    <row r="97" spans="10:10" x14ac:dyDescent="0.3">
      <c r="J97" s="4"/>
    </row>
    <row r="98" spans="10:10" x14ac:dyDescent="0.3">
      <c r="J98" s="4"/>
    </row>
    <row r="99" spans="10:10" x14ac:dyDescent="0.3">
      <c r="J99" s="4"/>
    </row>
    <row r="100" spans="10:10" x14ac:dyDescent="0.3">
      <c r="J100" s="4"/>
    </row>
    <row r="101" spans="10:10" x14ac:dyDescent="0.3">
      <c r="J101" s="4"/>
    </row>
    <row r="102" spans="10:10" x14ac:dyDescent="0.3">
      <c r="J102" s="4"/>
    </row>
    <row r="103" spans="10:10" x14ac:dyDescent="0.3">
      <c r="J103" s="4"/>
    </row>
    <row r="104" spans="10:10" x14ac:dyDescent="0.3">
      <c r="J104" s="4"/>
    </row>
    <row r="105" spans="10:10" x14ac:dyDescent="0.3">
      <c r="J105" s="4"/>
    </row>
    <row r="106" spans="10:10" x14ac:dyDescent="0.3">
      <c r="J106" s="4"/>
    </row>
    <row r="107" spans="10:10" x14ac:dyDescent="0.3">
      <c r="J107" s="3"/>
    </row>
    <row r="108" spans="10:10" x14ac:dyDescent="0.3">
      <c r="J108" s="3"/>
    </row>
    <row r="109" spans="10:10" x14ac:dyDescent="0.3">
      <c r="J109" s="3"/>
    </row>
    <row r="110" spans="10:10" x14ac:dyDescent="0.3">
      <c r="J110" s="3"/>
    </row>
    <row r="111" spans="10:10" x14ac:dyDescent="0.3">
      <c r="J111" s="3"/>
    </row>
    <row r="112" spans="10:10" x14ac:dyDescent="0.3">
      <c r="J112" s="3"/>
    </row>
    <row r="113" spans="10:10" x14ac:dyDescent="0.3">
      <c r="J113" s="3"/>
    </row>
    <row r="114" spans="10:10" x14ac:dyDescent="0.3">
      <c r="J114" s="3"/>
    </row>
    <row r="115" spans="10:10" x14ac:dyDescent="0.3">
      <c r="J115" s="3"/>
    </row>
    <row r="116" spans="10:10" x14ac:dyDescent="0.3">
      <c r="J116" s="3"/>
    </row>
  </sheetData>
  <mergeCells count="1">
    <mergeCell ref="A1:M1"/>
  </mergeCells>
  <phoneticPr fontId="3"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DCC2A-2CA1-4C5C-8454-F69C1B1FF1F9}">
  <dimension ref="A1:E51"/>
  <sheetViews>
    <sheetView workbookViewId="0">
      <selection activeCell="B68" sqref="B68"/>
    </sheetView>
  </sheetViews>
  <sheetFormatPr defaultRowHeight="14.4" x14ac:dyDescent="0.3"/>
  <cols>
    <col min="1" max="1" width="16.33203125" bestFit="1" customWidth="1"/>
    <col min="2" max="2" width="20.109375" bestFit="1" customWidth="1"/>
    <col min="3" max="3" width="9.21875" bestFit="1" customWidth="1"/>
    <col min="4" max="4" width="9.6640625" bestFit="1" customWidth="1"/>
    <col min="5" max="5" width="9.77734375" bestFit="1" customWidth="1"/>
  </cols>
  <sheetData>
    <row r="1" spans="1:5" x14ac:dyDescent="0.3">
      <c r="A1" s="1" t="s">
        <v>5</v>
      </c>
      <c r="B1" s="1" t="s">
        <v>6</v>
      </c>
      <c r="C1" s="1" t="s">
        <v>7</v>
      </c>
      <c r="D1" s="1" t="s">
        <v>8</v>
      </c>
      <c r="E1" s="1" t="s">
        <v>9</v>
      </c>
    </row>
    <row r="2" spans="1:5" x14ac:dyDescent="0.3">
      <c r="A2" t="s">
        <v>86</v>
      </c>
      <c r="B2" t="s">
        <v>89</v>
      </c>
      <c r="C2">
        <v>2300</v>
      </c>
      <c r="D2">
        <v>22000</v>
      </c>
      <c r="E2">
        <v>11000</v>
      </c>
    </row>
    <row r="3" spans="1:5" x14ac:dyDescent="0.3">
      <c r="A3" t="s">
        <v>87</v>
      </c>
      <c r="B3" t="s">
        <v>90</v>
      </c>
      <c r="C3">
        <v>45200</v>
      </c>
      <c r="D3">
        <v>2200</v>
      </c>
      <c r="E3">
        <v>1100</v>
      </c>
    </row>
    <row r="4" spans="1:5" x14ac:dyDescent="0.3">
      <c r="A4" t="s">
        <v>88</v>
      </c>
      <c r="B4" t="s">
        <v>105</v>
      </c>
      <c r="C4">
        <v>1000</v>
      </c>
      <c r="D4">
        <v>85000</v>
      </c>
      <c r="E4">
        <v>66000</v>
      </c>
    </row>
    <row r="5" spans="1:5" x14ac:dyDescent="0.3">
      <c r="A5" t="s">
        <v>88</v>
      </c>
      <c r="B5" t="s">
        <v>106</v>
      </c>
      <c r="C5">
        <v>25650</v>
      </c>
      <c r="D5">
        <v>35000</v>
      </c>
      <c r="E5">
        <v>13000</v>
      </c>
    </row>
    <row r="6" spans="1:5" x14ac:dyDescent="0.3">
      <c r="A6" t="s">
        <v>88</v>
      </c>
      <c r="B6" t="s">
        <v>107</v>
      </c>
      <c r="C6">
        <v>1234</v>
      </c>
      <c r="D6">
        <v>64500</v>
      </c>
      <c r="E6">
        <v>45000</v>
      </c>
    </row>
    <row r="7" spans="1:5" x14ac:dyDescent="0.3">
      <c r="A7" t="s">
        <v>86</v>
      </c>
      <c r="B7" t="s">
        <v>94</v>
      </c>
      <c r="C7">
        <v>25640</v>
      </c>
      <c r="D7">
        <v>24000</v>
      </c>
      <c r="E7">
        <v>15200</v>
      </c>
    </row>
    <row r="8" spans="1:5" x14ac:dyDescent="0.3">
      <c r="A8" t="s">
        <v>87</v>
      </c>
      <c r="B8" t="s">
        <v>95</v>
      </c>
      <c r="C8">
        <v>8907</v>
      </c>
      <c r="D8">
        <v>30000</v>
      </c>
      <c r="E8">
        <v>17000</v>
      </c>
    </row>
    <row r="9" spans="1:5" x14ac:dyDescent="0.3">
      <c r="A9" t="s">
        <v>88</v>
      </c>
      <c r="B9" t="s">
        <v>108</v>
      </c>
      <c r="C9">
        <v>6805</v>
      </c>
      <c r="D9">
        <v>85000</v>
      </c>
      <c r="E9">
        <v>66000</v>
      </c>
    </row>
    <row r="10" spans="1:5" x14ac:dyDescent="0.3">
      <c r="A10" t="s">
        <v>86</v>
      </c>
      <c r="B10" t="s">
        <v>97</v>
      </c>
      <c r="C10">
        <v>41012</v>
      </c>
      <c r="D10">
        <v>27000</v>
      </c>
      <c r="E10">
        <v>16000</v>
      </c>
    </row>
    <row r="11" spans="1:5" x14ac:dyDescent="0.3">
      <c r="A11" t="s">
        <v>87</v>
      </c>
      <c r="B11" t="s">
        <v>98</v>
      </c>
      <c r="C11">
        <v>3425</v>
      </c>
      <c r="D11">
        <v>4200</v>
      </c>
      <c r="E11">
        <v>2500</v>
      </c>
    </row>
    <row r="12" spans="1:5" x14ac:dyDescent="0.3">
      <c r="A12" t="s">
        <v>88</v>
      </c>
      <c r="B12" t="s">
        <v>109</v>
      </c>
      <c r="C12">
        <v>6070</v>
      </c>
      <c r="D12">
        <v>54000</v>
      </c>
      <c r="E12">
        <v>30000</v>
      </c>
    </row>
    <row r="13" spans="1:5" x14ac:dyDescent="0.3">
      <c r="A13" t="s">
        <v>87</v>
      </c>
      <c r="B13" t="s">
        <v>99</v>
      </c>
      <c r="C13">
        <v>4067</v>
      </c>
      <c r="D13">
        <v>1800</v>
      </c>
      <c r="E13">
        <v>900</v>
      </c>
    </row>
    <row r="14" spans="1:5" x14ac:dyDescent="0.3">
      <c r="A14" t="s">
        <v>87</v>
      </c>
      <c r="B14" t="s">
        <v>100</v>
      </c>
      <c r="C14">
        <v>12503</v>
      </c>
      <c r="D14">
        <v>1100</v>
      </c>
      <c r="E14">
        <v>520</v>
      </c>
    </row>
    <row r="15" spans="1:5" x14ac:dyDescent="0.3">
      <c r="A15" t="s">
        <v>86</v>
      </c>
      <c r="B15" t="s">
        <v>94</v>
      </c>
      <c r="C15">
        <v>5012</v>
      </c>
      <c r="D15">
        <v>24000</v>
      </c>
      <c r="E15">
        <v>15200</v>
      </c>
    </row>
    <row r="16" spans="1:5" x14ac:dyDescent="0.3">
      <c r="A16" t="s">
        <v>86</v>
      </c>
      <c r="B16" t="s">
        <v>95</v>
      </c>
      <c r="C16">
        <v>26501</v>
      </c>
      <c r="D16">
        <v>30000</v>
      </c>
      <c r="E16">
        <v>17000</v>
      </c>
    </row>
    <row r="17" spans="1:5" x14ac:dyDescent="0.3">
      <c r="A17" t="s">
        <v>86</v>
      </c>
      <c r="B17" t="s">
        <v>96</v>
      </c>
      <c r="C17">
        <v>24501</v>
      </c>
      <c r="D17">
        <v>40000</v>
      </c>
      <c r="E17">
        <v>22000</v>
      </c>
    </row>
    <row r="18" spans="1:5" x14ac:dyDescent="0.3">
      <c r="A18" t="s">
        <v>87</v>
      </c>
      <c r="B18" t="s">
        <v>97</v>
      </c>
      <c r="C18">
        <v>25640</v>
      </c>
      <c r="D18">
        <v>27000</v>
      </c>
      <c r="E18">
        <v>16000</v>
      </c>
    </row>
    <row r="19" spans="1:5" x14ac:dyDescent="0.3">
      <c r="A19" t="s">
        <v>87</v>
      </c>
      <c r="B19" t="s">
        <v>98</v>
      </c>
      <c r="C19">
        <v>1254</v>
      </c>
      <c r="D19">
        <v>4200</v>
      </c>
      <c r="E19">
        <v>2500</v>
      </c>
    </row>
    <row r="20" spans="1:5" x14ac:dyDescent="0.3">
      <c r="A20" t="s">
        <v>88</v>
      </c>
      <c r="B20" t="s">
        <v>110</v>
      </c>
      <c r="C20">
        <v>12560</v>
      </c>
      <c r="D20">
        <v>64000</v>
      </c>
      <c r="E20">
        <v>27000</v>
      </c>
    </row>
    <row r="21" spans="1:5" x14ac:dyDescent="0.3">
      <c r="A21" t="s">
        <v>86</v>
      </c>
      <c r="B21" t="s">
        <v>99</v>
      </c>
      <c r="C21">
        <v>25980</v>
      </c>
      <c r="D21">
        <v>34000</v>
      </c>
      <c r="E21">
        <v>20000</v>
      </c>
    </row>
    <row r="22" spans="1:5" x14ac:dyDescent="0.3">
      <c r="A22" t="s">
        <v>88</v>
      </c>
      <c r="B22" t="s">
        <v>110</v>
      </c>
      <c r="C22">
        <v>1250</v>
      </c>
      <c r="D22">
        <v>64000</v>
      </c>
      <c r="E22">
        <v>27000</v>
      </c>
    </row>
    <row r="23" spans="1:5" x14ac:dyDescent="0.3">
      <c r="A23" t="s">
        <v>87</v>
      </c>
      <c r="B23" t="s">
        <v>91</v>
      </c>
      <c r="C23">
        <v>2450</v>
      </c>
      <c r="D23">
        <v>14000</v>
      </c>
      <c r="E23">
        <v>8500</v>
      </c>
    </row>
    <row r="24" spans="1:5" x14ac:dyDescent="0.3">
      <c r="A24" t="s">
        <v>88</v>
      </c>
      <c r="B24" t="s">
        <v>106</v>
      </c>
      <c r="C24">
        <v>1290</v>
      </c>
      <c r="D24">
        <v>35000</v>
      </c>
      <c r="E24">
        <v>13000</v>
      </c>
    </row>
    <row r="25" spans="1:5" x14ac:dyDescent="0.3">
      <c r="A25" t="s">
        <v>86</v>
      </c>
      <c r="B25" t="s">
        <v>93</v>
      </c>
      <c r="C25">
        <v>25904</v>
      </c>
      <c r="D25">
        <v>17000</v>
      </c>
      <c r="E25">
        <v>8000</v>
      </c>
    </row>
    <row r="26" spans="1:5" x14ac:dyDescent="0.3">
      <c r="A26" t="s">
        <v>88</v>
      </c>
      <c r="B26" t="s">
        <v>106</v>
      </c>
      <c r="C26">
        <v>12540</v>
      </c>
      <c r="D26">
        <v>35000</v>
      </c>
      <c r="E26">
        <v>13000</v>
      </c>
    </row>
    <row r="27" spans="1:5" x14ac:dyDescent="0.3">
      <c r="A27" t="s">
        <v>86</v>
      </c>
      <c r="B27" t="s">
        <v>95</v>
      </c>
      <c r="C27">
        <v>29051</v>
      </c>
      <c r="D27">
        <v>30000</v>
      </c>
      <c r="E27">
        <v>17000</v>
      </c>
    </row>
    <row r="28" spans="1:5" x14ac:dyDescent="0.3">
      <c r="A28" t="s">
        <v>87</v>
      </c>
      <c r="B28" t="s">
        <v>96</v>
      </c>
      <c r="C28">
        <v>12540</v>
      </c>
      <c r="D28">
        <v>1024</v>
      </c>
      <c r="E28">
        <v>650</v>
      </c>
    </row>
    <row r="29" spans="1:5" x14ac:dyDescent="0.3">
      <c r="A29" t="s">
        <v>88</v>
      </c>
      <c r="B29" t="s">
        <v>111</v>
      </c>
      <c r="C29">
        <v>23102</v>
      </c>
      <c r="D29">
        <v>850000</v>
      </c>
      <c r="E29">
        <v>66000</v>
      </c>
    </row>
    <row r="30" spans="1:5" x14ac:dyDescent="0.3">
      <c r="A30" t="s">
        <v>87</v>
      </c>
      <c r="B30" t="s">
        <v>101</v>
      </c>
      <c r="C30">
        <v>1252</v>
      </c>
      <c r="D30">
        <v>1200</v>
      </c>
      <c r="E30">
        <v>700</v>
      </c>
    </row>
    <row r="31" spans="1:5" x14ac:dyDescent="0.3">
      <c r="A31" t="s">
        <v>87</v>
      </c>
      <c r="B31" t="s">
        <v>102</v>
      </c>
      <c r="C31">
        <v>2581</v>
      </c>
      <c r="D31">
        <v>1100</v>
      </c>
      <c r="E31">
        <v>600</v>
      </c>
    </row>
    <row r="32" spans="1:5" x14ac:dyDescent="0.3">
      <c r="A32" t="s">
        <v>88</v>
      </c>
      <c r="B32" t="s">
        <v>112</v>
      </c>
      <c r="C32">
        <v>9850</v>
      </c>
      <c r="D32">
        <v>54000</v>
      </c>
      <c r="E32">
        <v>30000</v>
      </c>
    </row>
    <row r="33" spans="1:5" x14ac:dyDescent="0.3">
      <c r="A33" t="s">
        <v>86</v>
      </c>
      <c r="B33" t="s">
        <v>94</v>
      </c>
      <c r="C33">
        <v>4560</v>
      </c>
      <c r="D33">
        <v>24000</v>
      </c>
      <c r="E33">
        <v>15200</v>
      </c>
    </row>
    <row r="34" spans="1:5" x14ac:dyDescent="0.3">
      <c r="A34" t="s">
        <v>88</v>
      </c>
      <c r="B34" t="s">
        <v>112</v>
      </c>
      <c r="C34">
        <v>7580</v>
      </c>
      <c r="D34">
        <v>54000</v>
      </c>
      <c r="E34">
        <v>30000</v>
      </c>
    </row>
    <row r="35" spans="1:5" x14ac:dyDescent="0.3">
      <c r="A35" t="s">
        <v>86</v>
      </c>
      <c r="B35" t="s">
        <v>96</v>
      </c>
      <c r="C35">
        <v>1582</v>
      </c>
      <c r="D35">
        <v>40000</v>
      </c>
      <c r="E35">
        <v>22000</v>
      </c>
    </row>
    <row r="36" spans="1:5" x14ac:dyDescent="0.3">
      <c r="A36" t="s">
        <v>88</v>
      </c>
      <c r="B36" t="s">
        <v>110</v>
      </c>
      <c r="C36">
        <v>2560</v>
      </c>
      <c r="D36">
        <v>64000</v>
      </c>
      <c r="E36">
        <v>27000</v>
      </c>
    </row>
    <row r="37" spans="1:5" x14ac:dyDescent="0.3">
      <c r="A37" t="s">
        <v>86</v>
      </c>
      <c r="B37" t="s">
        <v>101</v>
      </c>
      <c r="C37">
        <v>45021</v>
      </c>
      <c r="D37">
        <v>14000</v>
      </c>
      <c r="E37">
        <v>8000</v>
      </c>
    </row>
    <row r="38" spans="1:5" x14ac:dyDescent="0.3">
      <c r="A38" t="s">
        <v>88</v>
      </c>
      <c r="B38" t="s">
        <v>107</v>
      </c>
      <c r="C38">
        <v>2450</v>
      </c>
      <c r="D38">
        <v>64500</v>
      </c>
      <c r="E38">
        <v>45000</v>
      </c>
    </row>
    <row r="39" spans="1:5" x14ac:dyDescent="0.3">
      <c r="A39" t="s">
        <v>86</v>
      </c>
      <c r="B39" t="s">
        <v>104</v>
      </c>
      <c r="C39">
        <v>1256</v>
      </c>
      <c r="D39">
        <v>12000</v>
      </c>
      <c r="E39">
        <v>7000</v>
      </c>
    </row>
    <row r="40" spans="1:5" x14ac:dyDescent="0.3">
      <c r="A40" t="s">
        <v>88</v>
      </c>
      <c r="B40" t="s">
        <v>107</v>
      </c>
      <c r="C40">
        <v>25690</v>
      </c>
      <c r="D40">
        <v>64500</v>
      </c>
      <c r="E40">
        <v>45000</v>
      </c>
    </row>
    <row r="41" spans="1:5" x14ac:dyDescent="0.3">
      <c r="A41" t="s">
        <v>86</v>
      </c>
      <c r="B41" t="s">
        <v>92</v>
      </c>
      <c r="C41">
        <v>24580</v>
      </c>
      <c r="D41">
        <v>11000</v>
      </c>
      <c r="E41">
        <v>4000</v>
      </c>
    </row>
    <row r="42" spans="1:5" x14ac:dyDescent="0.3">
      <c r="A42" t="s">
        <v>87</v>
      </c>
      <c r="B42" t="s">
        <v>93</v>
      </c>
      <c r="C42">
        <v>2560</v>
      </c>
      <c r="D42">
        <v>8000</v>
      </c>
      <c r="E42">
        <v>3000</v>
      </c>
    </row>
    <row r="43" spans="1:5" x14ac:dyDescent="0.3">
      <c r="A43" t="s">
        <v>87</v>
      </c>
      <c r="B43" t="s">
        <v>94</v>
      </c>
      <c r="C43">
        <v>1547</v>
      </c>
      <c r="D43">
        <v>7000</v>
      </c>
      <c r="E43">
        <v>5000</v>
      </c>
    </row>
    <row r="44" spans="1:5" x14ac:dyDescent="0.3">
      <c r="A44" t="s">
        <v>86</v>
      </c>
      <c r="B44" t="s">
        <v>95</v>
      </c>
      <c r="C44">
        <v>7890</v>
      </c>
      <c r="D44">
        <v>30000</v>
      </c>
      <c r="E44">
        <v>17000</v>
      </c>
    </row>
    <row r="45" spans="1:5" x14ac:dyDescent="0.3">
      <c r="A45" t="s">
        <v>88</v>
      </c>
      <c r="B45" t="s">
        <v>106</v>
      </c>
      <c r="C45">
        <v>8950</v>
      </c>
      <c r="D45">
        <v>35000</v>
      </c>
      <c r="E45">
        <v>13000</v>
      </c>
    </row>
    <row r="46" spans="1:5" x14ac:dyDescent="0.3">
      <c r="A46" t="s">
        <v>87</v>
      </c>
      <c r="B46" t="s">
        <v>101</v>
      </c>
      <c r="C46">
        <v>7890</v>
      </c>
      <c r="D46">
        <v>700</v>
      </c>
      <c r="E46">
        <v>450</v>
      </c>
    </row>
    <row r="47" spans="1:5" x14ac:dyDescent="0.3">
      <c r="A47" t="s">
        <v>86</v>
      </c>
      <c r="B47" t="s">
        <v>101</v>
      </c>
      <c r="C47">
        <v>5690</v>
      </c>
      <c r="D47">
        <v>13500</v>
      </c>
      <c r="E47">
        <v>5000</v>
      </c>
    </row>
    <row r="48" spans="1:5" x14ac:dyDescent="0.3">
      <c r="A48" t="s">
        <v>88</v>
      </c>
      <c r="B48" t="s">
        <v>108</v>
      </c>
      <c r="C48">
        <v>25410</v>
      </c>
      <c r="D48">
        <v>85000</v>
      </c>
      <c r="E48">
        <v>66000</v>
      </c>
    </row>
    <row r="49" spans="1:5" x14ac:dyDescent="0.3">
      <c r="A49" t="s">
        <v>87</v>
      </c>
      <c r="B49" t="s">
        <v>93</v>
      </c>
      <c r="C49">
        <v>24516</v>
      </c>
      <c r="D49">
        <v>8000</v>
      </c>
      <c r="E49">
        <v>3000</v>
      </c>
    </row>
    <row r="50" spans="1:5" x14ac:dyDescent="0.3">
      <c r="A50" t="s">
        <v>87</v>
      </c>
      <c r="B50" t="s">
        <v>94</v>
      </c>
      <c r="C50">
        <v>24561</v>
      </c>
      <c r="D50">
        <v>1500</v>
      </c>
      <c r="E50">
        <v>850</v>
      </c>
    </row>
    <row r="51" spans="1:5" x14ac:dyDescent="0.3">
      <c r="A51" t="s">
        <v>88</v>
      </c>
      <c r="B51" t="s">
        <v>106</v>
      </c>
      <c r="C51">
        <v>21456</v>
      </c>
      <c r="D51">
        <v>35000</v>
      </c>
      <c r="E51">
        <v>13000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007C7-787C-450F-BFA7-18546278A3BB}">
  <dimension ref="A1:J67"/>
  <sheetViews>
    <sheetView topLeftCell="D1" zoomScale="58" workbookViewId="0">
      <selection activeCell="I1" sqref="I1"/>
    </sheetView>
  </sheetViews>
  <sheetFormatPr defaultRowHeight="14.4" x14ac:dyDescent="0.3"/>
  <cols>
    <col min="1" max="1" width="13.44140625" customWidth="1"/>
    <col min="2" max="2" width="31.44140625" customWidth="1"/>
    <col min="3" max="3" width="26.21875" customWidth="1"/>
    <col min="4" max="4" width="22.6640625" customWidth="1"/>
    <col min="5" max="5" width="25" customWidth="1"/>
    <col min="6" max="6" width="18.88671875" customWidth="1"/>
    <col min="7" max="7" width="18.109375" customWidth="1"/>
    <col min="8" max="8" width="18.21875" customWidth="1"/>
    <col min="9" max="9" width="19.77734375" customWidth="1"/>
    <col min="10" max="10" width="19.6640625" customWidth="1"/>
  </cols>
  <sheetData>
    <row r="1" spans="1:10" ht="18" customHeight="1" x14ac:dyDescent="0.3">
      <c r="A1" s="1" t="s">
        <v>1</v>
      </c>
      <c r="B1" s="1" t="s">
        <v>115</v>
      </c>
      <c r="C1" s="1" t="s">
        <v>116</v>
      </c>
      <c r="D1" s="1" t="s">
        <v>117</v>
      </c>
      <c r="E1" s="1" t="s">
        <v>118</v>
      </c>
      <c r="F1" s="1" t="s">
        <v>119</v>
      </c>
      <c r="G1" s="1" t="s">
        <v>120</v>
      </c>
      <c r="H1" s="1" t="s">
        <v>121</v>
      </c>
      <c r="I1" s="1" t="s">
        <v>122</v>
      </c>
      <c r="J1" s="1" t="s">
        <v>123</v>
      </c>
    </row>
    <row r="2" spans="1:10" x14ac:dyDescent="0.3">
      <c r="A2" t="s">
        <v>12</v>
      </c>
      <c r="B2" s="5">
        <f>(Order!K3/Order!J3)</f>
        <v>0.5</v>
      </c>
      <c r="C2" t="str">
        <f>TEXT(Order!B3,"MMM-YY")</f>
        <v>Apr-25</v>
      </c>
      <c r="D2" t="str">
        <f>IF(Order!K3&gt;0,"Profitable", IF(Order!K3&lt;0,"Loss","Break-even"))</f>
        <v>Profitable</v>
      </c>
      <c r="E2" t="str">
        <f>IF(Order!J3&gt;=10000000,"High", IF(Order!J3&lt;=10000000,"Medium","Low"))</f>
        <v>High</v>
      </c>
      <c r="F2" t="str">
        <f>IF(OR(Order!H3/Order!I3&gt;1.5,Order!H3/Order!I3&lt;0.3, ABS(B2)&gt;200), "REVIEW", "OK")</f>
        <v>REVIEW</v>
      </c>
      <c r="G2">
        <f>COUNTA(A:A)-1</f>
        <v>66</v>
      </c>
      <c r="H2">
        <f>COUNTIF(F:F,"OK")</f>
        <v>13</v>
      </c>
      <c r="I2">
        <f>COUNTIF(F:F,"REVIEW")</f>
        <v>53</v>
      </c>
      <c r="J2" s="5">
        <f>(H2/G2)</f>
        <v>0.19696969696969696</v>
      </c>
    </row>
    <row r="3" spans="1:10" x14ac:dyDescent="0.3">
      <c r="A3" t="s">
        <v>13</v>
      </c>
      <c r="B3" s="5">
        <f>(Order!K4/Order!J4)</f>
        <v>0.5</v>
      </c>
      <c r="C3" t="str">
        <f>TEXT(Order!B4,"MMM-YY")</f>
        <v>Apr-25</v>
      </c>
      <c r="D3" t="str">
        <f>IF(Order!K4&gt;0,"Profitable", IF(Order!K4&lt;0,"Loss","Break-even"))</f>
        <v>Profitable</v>
      </c>
      <c r="E3" t="str">
        <f>IF(Order!J4&gt;=10000000,"High", IF(Order!J4&lt;=10000000,"Medium","Low"))</f>
        <v>High</v>
      </c>
      <c r="F3" t="str">
        <f>IF(OR(Order!H4/Order!I4&gt;1.5,Order!H4/Order!I4&lt;0.3, ABS(B3)&gt;200), "REVIEW", "OK")</f>
        <v>REVIEW</v>
      </c>
    </row>
    <row r="4" spans="1:10" x14ac:dyDescent="0.3">
      <c r="A4" t="s">
        <v>14</v>
      </c>
      <c r="B4" s="5">
        <f>(Order!K5/Order!J5)</f>
        <v>0.22352941176470589</v>
      </c>
      <c r="C4" t="str">
        <f>TEXT(Order!B5,"MMM-YY")</f>
        <v>Apr-25</v>
      </c>
      <c r="D4" t="str">
        <f>IF(Order!K5&gt;0,"Profitable", IF(Order!K5&lt;0,"Loss","Break-even"))</f>
        <v>Profitable</v>
      </c>
      <c r="E4" t="str">
        <f>IF(Order!J5&gt;=10000000,"High", IF(Order!J5&lt;=10000000,"Medium","Low"))</f>
        <v>High</v>
      </c>
      <c r="F4" t="str">
        <f>IF(OR(Order!H5/Order!I5&gt;1.5,Order!H5/Order!I5&lt;0.3, ABS(B4)&gt;200), "REVIEW", "OK")</f>
        <v>OK</v>
      </c>
    </row>
    <row r="5" spans="1:10" x14ac:dyDescent="0.3">
      <c r="A5" t="s">
        <v>15</v>
      </c>
      <c r="B5" s="5">
        <f>(Order!K6/Order!J6)</f>
        <v>0.62857142857142856</v>
      </c>
      <c r="C5" t="str">
        <f>TEXT(Order!B6,"MMM-YY")</f>
        <v>Apr-25</v>
      </c>
      <c r="D5" t="str">
        <f>IF(Order!K6&gt;0,"Profitable", IF(Order!K6&lt;0,"Loss","Break-even"))</f>
        <v>Profitable</v>
      </c>
      <c r="E5" t="str">
        <f>IF(Order!J6&gt;=10000000,"High", IF(Order!J6&lt;=10000000,"Medium","Low"))</f>
        <v>High</v>
      </c>
      <c r="F5" t="str">
        <f>IF(OR(Order!H6/Order!I6&gt;1.5,Order!H6/Order!I6&lt;0.3, ABS(B5)&gt;200), "REVIEW", "OK")</f>
        <v>REVIEW</v>
      </c>
    </row>
    <row r="6" spans="1:10" x14ac:dyDescent="0.3">
      <c r="A6" t="s">
        <v>16</v>
      </c>
      <c r="B6" s="5">
        <f>(Order!K7/Order!J7)</f>
        <v>0.30232558139534882</v>
      </c>
      <c r="C6" t="str">
        <f>TEXT(Order!B7,"MMM-YY")</f>
        <v>Apr-25</v>
      </c>
      <c r="D6" t="str">
        <f>IF(Order!K7&gt;0,"Profitable", IF(Order!K7&lt;0,"Loss","Break-even"))</f>
        <v>Profitable</v>
      </c>
      <c r="E6" t="str">
        <f>IF(Order!J7&gt;=10000000,"High", IF(Order!J7&lt;=10000000,"Medium","Low"))</f>
        <v>High</v>
      </c>
      <c r="F6" t="str">
        <f>IF(OR(Order!H7/Order!I7&gt;1.5,Order!H7/Order!I7&lt;0.3, ABS(B6)&gt;200), "REVIEW", "OK")</f>
        <v>OK</v>
      </c>
    </row>
    <row r="7" spans="1:10" x14ac:dyDescent="0.3">
      <c r="A7" t="s">
        <v>17</v>
      </c>
      <c r="B7" s="5">
        <f>(Order!K8/Order!J8)</f>
        <v>0.36666666666666664</v>
      </c>
      <c r="C7" t="str">
        <f>TEXT(Order!B8,"MMM-YY")</f>
        <v>Apr-25</v>
      </c>
      <c r="D7" t="str">
        <f>IF(Order!K8&gt;0,"Profitable", IF(Order!K8&lt;0,"Loss","Break-even"))</f>
        <v>Profitable</v>
      </c>
      <c r="E7" t="str">
        <f>IF(Order!J8&gt;=10000000,"High", IF(Order!J8&lt;=10000000,"Medium","Low"))</f>
        <v>High</v>
      </c>
      <c r="F7" t="str">
        <f>IF(OR(Order!H8/Order!I8&gt;1.5,Order!H8/Order!I8&lt;0.3, ABS(B7)&gt;200), "REVIEW", "OK")</f>
        <v>REVIEW</v>
      </c>
    </row>
    <row r="8" spans="1:10" x14ac:dyDescent="0.3">
      <c r="A8" t="s">
        <v>18</v>
      </c>
      <c r="B8" s="5">
        <f>(Order!K9/Order!J9)</f>
        <v>0.43333333333333335</v>
      </c>
      <c r="C8" t="str">
        <f>TEXT(Order!B9,"MMM-YY")</f>
        <v>Apr-25</v>
      </c>
      <c r="D8" t="str">
        <f>IF(Order!K9&gt;0,"Profitable", IF(Order!K9&lt;0,"Loss","Break-even"))</f>
        <v>Profitable</v>
      </c>
      <c r="E8" t="str">
        <f>IF(Order!J9&gt;=10000000,"High", IF(Order!J9&lt;=10000000,"Medium","Low"))</f>
        <v>High</v>
      </c>
      <c r="F8" t="str">
        <f>IF(OR(Order!H9/Order!I9&gt;1.5,Order!H9/Order!I9&lt;0.3, ABS(B8)&gt;200), "REVIEW", "OK")</f>
        <v>REVIEW</v>
      </c>
    </row>
    <row r="9" spans="1:10" x14ac:dyDescent="0.3">
      <c r="A9" t="s">
        <v>19</v>
      </c>
      <c r="B9" s="5">
        <f>(Order!K10/Order!J10)</f>
        <v>0.22352941176470589</v>
      </c>
      <c r="C9" t="str">
        <f>TEXT(Order!B10,"MMM-YY")</f>
        <v>Apr-25</v>
      </c>
      <c r="D9" t="str">
        <f>IF(Order!K10&gt;0,"Profitable", IF(Order!K10&lt;0,"Loss","Break-even"))</f>
        <v>Profitable</v>
      </c>
      <c r="E9" t="str">
        <f>IF(Order!J10&gt;=10000000,"High", IF(Order!J10&lt;=10000000,"Medium","Low"))</f>
        <v>High</v>
      </c>
      <c r="F9" t="str">
        <f>IF(OR(Order!H10/Order!I10&gt;1.5,Order!H10/Order!I10&lt;0.3, ABS(B9)&gt;200), "REVIEW", "OK")</f>
        <v>OK</v>
      </c>
    </row>
    <row r="10" spans="1:10" x14ac:dyDescent="0.3">
      <c r="A10" t="s">
        <v>20</v>
      </c>
      <c r="B10" s="5">
        <f>(Order!K11/Order!J11)</f>
        <v>0.40740740740740738</v>
      </c>
      <c r="C10" t="str">
        <f>TEXT(Order!B11,"MMM-YY")</f>
        <v>Apr-25</v>
      </c>
      <c r="D10" t="str">
        <f>IF(Order!K11&gt;0,"Profitable", IF(Order!K11&lt;0,"Loss","Break-even"))</f>
        <v>Profitable</v>
      </c>
      <c r="E10" t="str">
        <f>IF(Order!J11&gt;=10000000,"High", IF(Order!J11&lt;=10000000,"Medium","Low"))</f>
        <v>High</v>
      </c>
      <c r="F10" t="str">
        <f>IF(OR(Order!H11/Order!I11&gt;1.5,Order!H11/Order!I11&lt;0.3, ABS(B10)&gt;200), "REVIEW", "OK")</f>
        <v>REVIEW</v>
      </c>
    </row>
    <row r="11" spans="1:10" x14ac:dyDescent="0.3">
      <c r="A11" t="s">
        <v>21</v>
      </c>
      <c r="B11" s="5">
        <f>(Order!K12/Order!J12)</f>
        <v>0.40476190476190477</v>
      </c>
      <c r="C11" t="str">
        <f>TEXT(Order!B12,"MMM-YY")</f>
        <v>Apr-25</v>
      </c>
      <c r="D11" t="str">
        <f>IF(Order!K12&gt;0,"Profitable", IF(Order!K12&lt;0,"Loss","Break-even"))</f>
        <v>Profitable</v>
      </c>
      <c r="E11" t="str">
        <f>IF(Order!J12&gt;=10000000,"High", IF(Order!J12&lt;=10000000,"Medium","Low"))</f>
        <v>High</v>
      </c>
      <c r="F11" t="str">
        <f>IF(OR(Order!H12/Order!I12&gt;1.5,Order!H12/Order!I12&lt;0.3, ABS(B11)&gt;200), "REVIEW", "OK")</f>
        <v>REVIEW</v>
      </c>
    </row>
    <row r="12" spans="1:10" x14ac:dyDescent="0.3">
      <c r="A12" t="s">
        <v>22</v>
      </c>
      <c r="B12" s="5">
        <f>(Order!K13/Order!J13)</f>
        <v>0.44444444444444442</v>
      </c>
      <c r="C12" t="str">
        <f>TEXT(Order!B13,"MMM-YY")</f>
        <v>Apr-25</v>
      </c>
      <c r="D12" t="str">
        <f>IF(Order!K13&gt;0,"Profitable", IF(Order!K13&lt;0,"Loss","Break-even"))</f>
        <v>Profitable</v>
      </c>
      <c r="E12" t="str">
        <f>IF(Order!J13&gt;=10000000,"High", IF(Order!J13&lt;=10000000,"Medium","Low"))</f>
        <v>High</v>
      </c>
      <c r="F12" t="str">
        <f>IF(OR(Order!H13/Order!I13&gt;1.5,Order!H13/Order!I13&lt;0.3, ABS(B12)&gt;200), "REVIEW", "OK")</f>
        <v>REVIEW</v>
      </c>
    </row>
    <row r="13" spans="1:10" x14ac:dyDescent="0.3">
      <c r="A13" t="s">
        <v>23</v>
      </c>
      <c r="B13" s="5">
        <f>(Order!K14/Order!J14)</f>
        <v>0.5</v>
      </c>
      <c r="C13" t="str">
        <f>TEXT(Order!B14,"MMM-YY")</f>
        <v>Apr-25</v>
      </c>
      <c r="D13" t="str">
        <f>IF(Order!K14&gt;0,"Profitable", IF(Order!K14&lt;0,"Loss","Break-even"))</f>
        <v>Profitable</v>
      </c>
      <c r="E13" t="str">
        <f>IF(Order!J14&gt;=10000000,"High", IF(Order!J14&lt;=10000000,"Medium","Low"))</f>
        <v>Medium</v>
      </c>
      <c r="F13" t="str">
        <f>IF(OR(Order!H14/Order!I14&gt;1.5,Order!H14/Order!I14&lt;0.3, ABS(B13)&gt;200), "REVIEW", "OK")</f>
        <v>REVIEW</v>
      </c>
    </row>
    <row r="14" spans="1:10" x14ac:dyDescent="0.3">
      <c r="A14" t="s">
        <v>24</v>
      </c>
      <c r="B14" s="5">
        <f>(Order!K15/Order!J15)</f>
        <v>0.52727272727272723</v>
      </c>
      <c r="C14" t="str">
        <f>TEXT(Order!B15,"MMM-YY")</f>
        <v>Apr-25</v>
      </c>
      <c r="D14" t="str">
        <f>IF(Order!K15&gt;0,"Profitable", IF(Order!K15&lt;0,"Loss","Break-even"))</f>
        <v>Profitable</v>
      </c>
      <c r="E14" t="str">
        <f>IF(Order!J15&gt;=10000000,"High", IF(Order!J15&lt;=10000000,"Medium","Low"))</f>
        <v>High</v>
      </c>
      <c r="F14" t="str">
        <f>IF(OR(Order!H15/Order!I15&gt;1.5,Order!H15/Order!I15&lt;0.3, ABS(B14)&gt;200), "REVIEW", "OK")</f>
        <v>REVIEW</v>
      </c>
    </row>
    <row r="15" spans="1:10" x14ac:dyDescent="0.3">
      <c r="A15" t="s">
        <v>25</v>
      </c>
      <c r="B15" s="5">
        <f>(Order!K16/Order!J16)</f>
        <v>0.36666666666666664</v>
      </c>
      <c r="C15" t="str">
        <f>TEXT(Order!B16,"MMM-YY")</f>
        <v>Apr-25</v>
      </c>
      <c r="D15" t="str">
        <f>IF(Order!K16&gt;0,"Profitable", IF(Order!K16&lt;0,"Loss","Break-even"))</f>
        <v>Profitable</v>
      </c>
      <c r="E15" t="str">
        <f>IF(Order!J16&gt;=10000000,"High", IF(Order!J16&lt;=10000000,"Medium","Low"))</f>
        <v>High</v>
      </c>
      <c r="F15" t="str">
        <f>IF(OR(Order!H16/Order!I16&gt;1.5,Order!H16/Order!I16&lt;0.3, ABS(B15)&gt;200), "REVIEW", "OK")</f>
        <v>REVIEW</v>
      </c>
    </row>
    <row r="16" spans="1:10" x14ac:dyDescent="0.3">
      <c r="A16" t="s">
        <v>26</v>
      </c>
      <c r="B16" s="5">
        <f>(Order!K17/Order!J17)</f>
        <v>0.43333333333333335</v>
      </c>
      <c r="C16" t="str">
        <f>TEXT(Order!B17,"MMM-YY")</f>
        <v>Apr-25</v>
      </c>
      <c r="D16" t="str">
        <f>IF(Order!K17&gt;0,"Profitable", IF(Order!K17&lt;0,"Loss","Break-even"))</f>
        <v>Profitable</v>
      </c>
      <c r="E16" t="str">
        <f>IF(Order!J17&gt;=10000000,"High", IF(Order!J17&lt;=10000000,"Medium","Low"))</f>
        <v>High</v>
      </c>
      <c r="F16" t="str">
        <f>IF(OR(Order!H17/Order!I17&gt;1.5,Order!H17/Order!I17&lt;0.3, ABS(B16)&gt;200), "REVIEW", "OK")</f>
        <v>REVIEW</v>
      </c>
    </row>
    <row r="17" spans="1:6" x14ac:dyDescent="0.3">
      <c r="A17" t="s">
        <v>27</v>
      </c>
      <c r="B17" s="5">
        <f>(Order!K18/Order!J18)</f>
        <v>0.45</v>
      </c>
      <c r="C17" t="str">
        <f>TEXT(Order!B18,"MMM-YY")</f>
        <v>Apr-25</v>
      </c>
      <c r="D17" t="str">
        <f>IF(Order!K18&gt;0,"Profitable", IF(Order!K18&lt;0,"Loss","Break-even"))</f>
        <v>Profitable</v>
      </c>
      <c r="E17" t="str">
        <f>IF(Order!J18&gt;=10000000,"High", IF(Order!J18&lt;=10000000,"Medium","Low"))</f>
        <v>High</v>
      </c>
      <c r="F17" t="str">
        <f>IF(OR(Order!H18/Order!I18&gt;1.5,Order!H18/Order!I18&lt;0.3, ABS(B17)&gt;200), "REVIEW", "OK")</f>
        <v>REVIEW</v>
      </c>
    </row>
    <row r="18" spans="1:6" x14ac:dyDescent="0.3">
      <c r="A18" t="s">
        <v>28</v>
      </c>
      <c r="B18" s="5">
        <f>(Order!K19/Order!J19)</f>
        <v>0.40740740740740738</v>
      </c>
      <c r="C18" t="str">
        <f>TEXT(Order!B19,"MMM-YY")</f>
        <v>Apr-25</v>
      </c>
      <c r="D18" t="str">
        <f>IF(Order!K19&gt;0,"Profitable", IF(Order!K19&lt;0,"Loss","Break-even"))</f>
        <v>Profitable</v>
      </c>
      <c r="E18" t="str">
        <f>IF(Order!J19&gt;=10000000,"High", IF(Order!J19&lt;=10000000,"Medium","Low"))</f>
        <v>High</v>
      </c>
      <c r="F18" t="str">
        <f>IF(OR(Order!H19/Order!I19&gt;1.5,Order!H19/Order!I19&lt;0.3, ABS(B18)&gt;200), "REVIEW", "OK")</f>
        <v>REVIEW</v>
      </c>
    </row>
    <row r="19" spans="1:6" x14ac:dyDescent="0.3">
      <c r="A19" t="s">
        <v>29</v>
      </c>
      <c r="B19" s="5">
        <f>(Order!K20/Order!J20)</f>
        <v>0.40476190476190477</v>
      </c>
      <c r="C19" t="str">
        <f>TEXT(Order!B20,"MMM-YY")</f>
        <v>Apr-25</v>
      </c>
      <c r="D19" t="str">
        <f>IF(Order!K20&gt;0,"Profitable", IF(Order!K20&lt;0,"Loss","Break-even"))</f>
        <v>Profitable</v>
      </c>
      <c r="E19" t="str">
        <f>IF(Order!J20&gt;=10000000,"High", IF(Order!J20&lt;=10000000,"Medium","Low"))</f>
        <v>Medium</v>
      </c>
      <c r="F19" t="str">
        <f>IF(OR(Order!H20/Order!I20&gt;1.5,Order!H20/Order!I20&lt;0.3, ABS(B19)&gt;200), "REVIEW", "OK")</f>
        <v>REVIEW</v>
      </c>
    </row>
    <row r="20" spans="1:6" x14ac:dyDescent="0.3">
      <c r="A20" t="s">
        <v>30</v>
      </c>
      <c r="B20" s="5">
        <f>(Order!K21/Order!J21)</f>
        <v>0.578125</v>
      </c>
      <c r="C20" t="str">
        <f>TEXT(Order!B21,"MMM-YY")</f>
        <v>Apr-25</v>
      </c>
      <c r="D20" t="str">
        <f>IF(Order!K21&gt;0,"Profitable", IF(Order!K21&lt;0,"Loss","Break-even"))</f>
        <v>Profitable</v>
      </c>
      <c r="E20" t="str">
        <f>IF(Order!J21&gt;=10000000,"High", IF(Order!J21&lt;=10000000,"Medium","Low"))</f>
        <v>High</v>
      </c>
      <c r="F20" t="str">
        <f>IF(OR(Order!H21/Order!I21&gt;1.5,Order!H21/Order!I21&lt;0.3, ABS(B20)&gt;200), "REVIEW", "OK")</f>
        <v>REVIEW</v>
      </c>
    </row>
    <row r="21" spans="1:6" x14ac:dyDescent="0.3">
      <c r="A21" t="s">
        <v>31</v>
      </c>
      <c r="B21" s="5">
        <f>(Order!K22/Order!J22)</f>
        <v>0.41176470588235292</v>
      </c>
      <c r="C21" t="str">
        <f>TEXT(Order!B22,"MMM-YY")</f>
        <v>Apr-25</v>
      </c>
      <c r="D21" t="str">
        <f>IF(Order!K22&gt;0,"Profitable", IF(Order!K22&lt;0,"Loss","Break-even"))</f>
        <v>Profitable</v>
      </c>
      <c r="E21" t="str">
        <f>IF(Order!J22&gt;=10000000,"High", IF(Order!J22&lt;=10000000,"Medium","Low"))</f>
        <v>High</v>
      </c>
      <c r="F21" t="str">
        <f>IF(OR(Order!H22/Order!I22&gt;1.5,Order!H22/Order!I22&lt;0.3, ABS(B21)&gt;200), "REVIEW", "OK")</f>
        <v>REVIEW</v>
      </c>
    </row>
    <row r="22" spans="1:6" x14ac:dyDescent="0.3">
      <c r="A22" t="s">
        <v>32</v>
      </c>
      <c r="B22" s="5">
        <f>(Order!K23/Order!J23)</f>
        <v>0.578125</v>
      </c>
      <c r="C22" t="str">
        <f>TEXT(Order!B23,"MMM-YY")</f>
        <v>Apr-25</v>
      </c>
      <c r="D22" t="str">
        <f>IF(Order!K23&gt;0,"Profitable", IF(Order!K23&lt;0,"Loss","Break-even"))</f>
        <v>Profitable</v>
      </c>
      <c r="E22" t="str">
        <f>IF(Order!J23&gt;=10000000,"High", IF(Order!J23&lt;=10000000,"Medium","Low"))</f>
        <v>High</v>
      </c>
      <c r="F22" t="str">
        <f>IF(OR(Order!H23/Order!I23&gt;1.5,Order!H23/Order!I23&lt;0.3, ABS(B22)&gt;200), "REVIEW", "OK")</f>
        <v>REVIEW</v>
      </c>
    </row>
    <row r="23" spans="1:6" x14ac:dyDescent="0.3">
      <c r="A23" t="s">
        <v>33</v>
      </c>
      <c r="B23" s="5">
        <f>(Order!K24/Order!J24)</f>
        <v>0.39285714285714285</v>
      </c>
      <c r="C23" t="str">
        <f>TEXT(Order!B24,"MMM-YY")</f>
        <v>Apr-25</v>
      </c>
      <c r="D23" t="str">
        <f>IF(Order!K24&gt;0,"Profitable", IF(Order!K24&lt;0,"Loss","Break-even"))</f>
        <v>Profitable</v>
      </c>
      <c r="E23" t="str">
        <f>IF(Order!J24&gt;=10000000,"High", IF(Order!J24&lt;=10000000,"Medium","Low"))</f>
        <v>High</v>
      </c>
      <c r="F23" t="str">
        <f>IF(OR(Order!H24/Order!I24&gt;1.5,Order!H24/Order!I24&lt;0.3, ABS(B23)&gt;200), "REVIEW", "OK")</f>
        <v>REVIEW</v>
      </c>
    </row>
    <row r="24" spans="1:6" x14ac:dyDescent="0.3">
      <c r="A24" t="s">
        <v>34</v>
      </c>
      <c r="B24" s="5">
        <f>(Order!K25/Order!J25)</f>
        <v>0.62857142857142856</v>
      </c>
      <c r="C24" t="str">
        <f>TEXT(Order!B25,"MMM-YY")</f>
        <v>Apr-25</v>
      </c>
      <c r="D24" t="str">
        <f>IF(Order!K25&gt;0,"Profitable", IF(Order!K25&lt;0,"Loss","Break-even"))</f>
        <v>Profitable</v>
      </c>
      <c r="E24" t="str">
        <f>IF(Order!J25&gt;=10000000,"High", IF(Order!J25&lt;=10000000,"Medium","Low"))</f>
        <v>High</v>
      </c>
      <c r="F24" t="str">
        <f>IF(OR(Order!H25/Order!I25&gt;1.5,Order!H25/Order!I25&lt;0.3, ABS(B24)&gt;200), "REVIEW", "OK")</f>
        <v>REVIEW</v>
      </c>
    </row>
    <row r="25" spans="1:6" x14ac:dyDescent="0.3">
      <c r="A25" t="s">
        <v>35</v>
      </c>
      <c r="B25" s="5">
        <f>(Order!K26/Order!J26)</f>
        <v>0.52941176470588236</v>
      </c>
      <c r="C25" t="str">
        <f>TEXT(Order!B26,"MMM-YY")</f>
        <v>Apr-25</v>
      </c>
      <c r="D25" t="str">
        <f>IF(Order!K26&gt;0,"Profitable", IF(Order!K26&lt;0,"Loss","Break-even"))</f>
        <v>Profitable</v>
      </c>
      <c r="E25" t="str">
        <f>IF(Order!J26&gt;=10000000,"High", IF(Order!J26&lt;=10000000,"Medium","Low"))</f>
        <v>High</v>
      </c>
      <c r="F25" t="str">
        <f>IF(OR(Order!H26/Order!I26&gt;1.5,Order!H26/Order!I26&lt;0.3, ABS(B25)&gt;200), "REVIEW", "OK")</f>
        <v>REVIEW</v>
      </c>
    </row>
    <row r="26" spans="1:6" x14ac:dyDescent="0.3">
      <c r="A26" t="s">
        <v>36</v>
      </c>
      <c r="B26" s="5">
        <f>(Order!K27/Order!J27)</f>
        <v>0.62857142857142856</v>
      </c>
      <c r="C26" t="str">
        <f>TEXT(Order!B27,"MMM-YY")</f>
        <v>Apr-25</v>
      </c>
      <c r="D26" t="str">
        <f>IF(Order!K27&gt;0,"Profitable", IF(Order!K27&lt;0,"Loss","Break-even"))</f>
        <v>Profitable</v>
      </c>
      <c r="E26" t="str">
        <f>IF(Order!J27&gt;=10000000,"High", IF(Order!J27&lt;=10000000,"Medium","Low"))</f>
        <v>High</v>
      </c>
      <c r="F26" t="str">
        <f>IF(OR(Order!H27/Order!I27&gt;1.5,Order!H27/Order!I27&lt;0.3, ABS(B26)&gt;200), "REVIEW", "OK")</f>
        <v>REVIEW</v>
      </c>
    </row>
    <row r="27" spans="1:6" x14ac:dyDescent="0.3">
      <c r="A27" t="s">
        <v>37</v>
      </c>
      <c r="B27" s="5">
        <f>(Order!K28/Order!J28)</f>
        <v>0.43333333333333335</v>
      </c>
      <c r="C27" t="str">
        <f>TEXT(Order!B28,"MMM-YY")</f>
        <v>Apr-25</v>
      </c>
      <c r="D27" t="str">
        <f>IF(Order!K28&gt;0,"Profitable", IF(Order!K28&lt;0,"Loss","Break-even"))</f>
        <v>Profitable</v>
      </c>
      <c r="E27" t="str">
        <f>IF(Order!J28&gt;=10000000,"High", IF(Order!J28&lt;=10000000,"Medium","Low"))</f>
        <v>High</v>
      </c>
      <c r="F27" t="str">
        <f>IF(OR(Order!H28/Order!I28&gt;1.5,Order!H28/Order!I28&lt;0.3, ABS(B27)&gt;200), "REVIEW", "OK")</f>
        <v>REVIEW</v>
      </c>
    </row>
    <row r="28" spans="1:6" x14ac:dyDescent="0.3">
      <c r="A28" t="s">
        <v>38</v>
      </c>
      <c r="B28" s="5">
        <f>(Order!K29/Order!J29)</f>
        <v>0.365234375</v>
      </c>
      <c r="C28" t="str">
        <f>TEXT(Order!B29,"MMM-YY")</f>
        <v>Apr-25</v>
      </c>
      <c r="D28" t="str">
        <f>IF(Order!K29&gt;0,"Profitable", IF(Order!K29&lt;0,"Loss","Break-even"))</f>
        <v>Profitable</v>
      </c>
      <c r="E28" t="str">
        <f>IF(Order!J29&gt;=10000000,"High", IF(Order!J29&lt;=10000000,"Medium","Low"))</f>
        <v>High</v>
      </c>
      <c r="F28" t="str">
        <f>IF(OR(Order!H29/Order!I29&gt;1.5,Order!H29/Order!I29&lt;0.3, ABS(B28)&gt;200), "REVIEW", "OK")</f>
        <v>REVIEW</v>
      </c>
    </row>
    <row r="29" spans="1:6" x14ac:dyDescent="0.3">
      <c r="A29" t="s">
        <v>39</v>
      </c>
      <c r="B29" s="5">
        <f>(Order!K30/Order!J30)</f>
        <v>0.9223529411764706</v>
      </c>
      <c r="C29" t="str">
        <f>TEXT(Order!B30,"MMM-YY")</f>
        <v>Apr-25</v>
      </c>
      <c r="D29" t="str">
        <f>IF(Order!K30&gt;0,"Profitable", IF(Order!K30&lt;0,"Loss","Break-even"))</f>
        <v>Profitable</v>
      </c>
      <c r="E29" t="str">
        <f>IF(Order!J30&gt;=10000000,"High", IF(Order!J30&lt;=10000000,"Medium","Low"))</f>
        <v>High</v>
      </c>
      <c r="F29" t="str">
        <f>IF(OR(Order!H30/Order!I30&gt;1.5,Order!H30/Order!I30&lt;0.3, ABS(B29)&gt;200), "REVIEW", "OK")</f>
        <v>REVIEW</v>
      </c>
    </row>
    <row r="30" spans="1:6" x14ac:dyDescent="0.3">
      <c r="A30" t="s">
        <v>40</v>
      </c>
      <c r="B30" s="5">
        <f>(Order!K31/Order!J31)</f>
        <v>0.41666666666666669</v>
      </c>
      <c r="C30" t="str">
        <f>TEXT(Order!B31,"MMM-YY")</f>
        <v>Apr-25</v>
      </c>
      <c r="D30" t="str">
        <f>IF(Order!K31&gt;0,"Profitable", IF(Order!K31&lt;0,"Loss","Break-even"))</f>
        <v>Profitable</v>
      </c>
      <c r="E30" t="str">
        <f>IF(Order!J31&gt;=10000000,"High", IF(Order!J31&lt;=10000000,"Medium","Low"))</f>
        <v>Medium</v>
      </c>
      <c r="F30" t="str">
        <f>IF(OR(Order!H31/Order!I31&gt;1.5,Order!H31/Order!I31&lt;0.3, ABS(B30)&gt;200), "REVIEW", "OK")</f>
        <v>REVIEW</v>
      </c>
    </row>
    <row r="31" spans="1:6" x14ac:dyDescent="0.3">
      <c r="A31" t="s">
        <v>41</v>
      </c>
      <c r="B31" s="5">
        <f>(Order!K32/Order!J32)</f>
        <v>0.45454545454545453</v>
      </c>
      <c r="C31" t="str">
        <f>TEXT(Order!B32,"MMM-YY")</f>
        <v>Apr-25</v>
      </c>
      <c r="D31" t="str">
        <f>IF(Order!K32&gt;0,"Profitable", IF(Order!K32&lt;0,"Loss","Break-even"))</f>
        <v>Profitable</v>
      </c>
      <c r="E31" t="str">
        <f>IF(Order!J32&gt;=10000000,"High", IF(Order!J32&lt;=10000000,"Medium","Low"))</f>
        <v>Medium</v>
      </c>
      <c r="F31" t="str">
        <f>IF(OR(Order!H32/Order!I32&gt;1.5,Order!H32/Order!I32&lt;0.3, ABS(B31)&gt;200), "REVIEW", "OK")</f>
        <v>REVIEW</v>
      </c>
    </row>
    <row r="32" spans="1:6" x14ac:dyDescent="0.3">
      <c r="A32" t="s">
        <v>42</v>
      </c>
      <c r="B32" s="5">
        <f>(Order!K33/Order!J33)</f>
        <v>0.44444444444444442</v>
      </c>
      <c r="C32" t="str">
        <f>TEXT(Order!B33,"MMM-YY")</f>
        <v>May-25</v>
      </c>
      <c r="D32" t="str">
        <f>IF(Order!K33&gt;0,"Profitable", IF(Order!K33&lt;0,"Loss","Break-even"))</f>
        <v>Profitable</v>
      </c>
      <c r="E32" t="str">
        <f>IF(Order!J33&gt;=10000000,"High", IF(Order!J33&lt;=10000000,"Medium","Low"))</f>
        <v>High</v>
      </c>
      <c r="F32" t="str">
        <f>IF(OR(Order!H33/Order!I33&gt;1.5,Order!H33/Order!I33&lt;0.3, ABS(B32)&gt;200), "REVIEW", "OK")</f>
        <v>REVIEW</v>
      </c>
    </row>
    <row r="33" spans="1:6" x14ac:dyDescent="0.3">
      <c r="A33" t="s">
        <v>43</v>
      </c>
      <c r="B33" s="5">
        <f>(Order!K34/Order!J34)</f>
        <v>0.36666666666666664</v>
      </c>
      <c r="C33" t="str">
        <f>TEXT(Order!B34,"MMM-YY")</f>
        <v>May-25</v>
      </c>
      <c r="D33" t="str">
        <f>IF(Order!K34&gt;0,"Profitable", IF(Order!K34&lt;0,"Loss","Break-even"))</f>
        <v>Profitable</v>
      </c>
      <c r="E33" t="str">
        <f>IF(Order!J34&gt;=10000000,"High", IF(Order!J34&lt;=10000000,"Medium","Low"))</f>
        <v>High</v>
      </c>
      <c r="F33" t="str">
        <f>IF(OR(Order!H34/Order!I34&gt;1.5,Order!H34/Order!I34&lt;0.3, ABS(B33)&gt;200), "REVIEW", "OK")</f>
        <v>REVIEW</v>
      </c>
    </row>
    <row r="34" spans="1:6" x14ac:dyDescent="0.3">
      <c r="A34" t="s">
        <v>44</v>
      </c>
      <c r="B34" s="5">
        <f>(Order!K35/Order!J35)</f>
        <v>0.44444444444444442</v>
      </c>
      <c r="C34" t="str">
        <f>TEXT(Order!B35,"MMM-YY")</f>
        <v>May-25</v>
      </c>
      <c r="D34" t="str">
        <f>IF(Order!K35&gt;0,"Profitable", IF(Order!K35&lt;0,"Loss","Break-even"))</f>
        <v>Profitable</v>
      </c>
      <c r="E34" t="str">
        <f>IF(Order!J35&gt;=10000000,"High", IF(Order!J35&lt;=10000000,"Medium","Low"))</f>
        <v>High</v>
      </c>
      <c r="F34" t="str">
        <f>IF(OR(Order!H35/Order!I35&gt;1.5,Order!H35/Order!I35&lt;0.3, ABS(B34)&gt;200), "REVIEW", "OK")</f>
        <v>REVIEW</v>
      </c>
    </row>
    <row r="35" spans="1:6" x14ac:dyDescent="0.3">
      <c r="A35" t="s">
        <v>45</v>
      </c>
      <c r="B35" s="5">
        <f>(Order!K36/Order!J36)</f>
        <v>0.45</v>
      </c>
      <c r="C35" t="str">
        <f>TEXT(Order!B36,"MMM-YY")</f>
        <v>May-25</v>
      </c>
      <c r="D35" t="str">
        <f>IF(Order!K36&gt;0,"Profitable", IF(Order!K36&lt;0,"Loss","Break-even"))</f>
        <v>Profitable</v>
      </c>
      <c r="E35" t="str">
        <f>IF(Order!J36&gt;=10000000,"High", IF(Order!J36&lt;=10000000,"Medium","Low"))</f>
        <v>High</v>
      </c>
      <c r="F35" t="str">
        <f>IF(OR(Order!H36/Order!I36&gt;1.5,Order!H36/Order!I36&lt;0.3, ABS(B35)&gt;200), "REVIEW", "OK")</f>
        <v>REVIEW</v>
      </c>
    </row>
    <row r="36" spans="1:6" x14ac:dyDescent="0.3">
      <c r="A36" t="s">
        <v>46</v>
      </c>
      <c r="B36" s="5">
        <f>(Order!K37/Order!J37)</f>
        <v>0.578125</v>
      </c>
      <c r="C36" t="str">
        <f>TEXT(Order!B37,"MMM-YY")</f>
        <v>May-25</v>
      </c>
      <c r="D36" t="str">
        <f>IF(Order!K37&gt;0,"Profitable", IF(Order!K37&lt;0,"Loss","Break-even"))</f>
        <v>Profitable</v>
      </c>
      <c r="E36" t="str">
        <f>IF(Order!J37&gt;=10000000,"High", IF(Order!J37&lt;=10000000,"Medium","Low"))</f>
        <v>High</v>
      </c>
      <c r="F36" t="str">
        <f>IF(OR(Order!H37/Order!I37&gt;1.5,Order!H37/Order!I37&lt;0.3, ABS(B36)&gt;200), "REVIEW", "OK")</f>
        <v>REVIEW</v>
      </c>
    </row>
    <row r="37" spans="1:6" x14ac:dyDescent="0.3">
      <c r="A37" t="s">
        <v>47</v>
      </c>
      <c r="B37" s="5">
        <f>(Order!K38/Order!J38)</f>
        <v>0.42857142857142855</v>
      </c>
      <c r="C37" t="str">
        <f>TEXT(Order!B38,"MMM-YY")</f>
        <v>May-25</v>
      </c>
      <c r="D37" t="str">
        <f>IF(Order!K38&gt;0,"Profitable", IF(Order!K38&lt;0,"Loss","Break-even"))</f>
        <v>Profitable</v>
      </c>
      <c r="E37" t="str">
        <f>IF(Order!J38&gt;=10000000,"High", IF(Order!J38&lt;=10000000,"Medium","Low"))</f>
        <v>High</v>
      </c>
      <c r="F37" t="str">
        <f>IF(OR(Order!H38/Order!I38&gt;1.5,Order!H38/Order!I38&lt;0.3, ABS(B37)&gt;200), "REVIEW", "OK")</f>
        <v>REVIEW</v>
      </c>
    </row>
    <row r="38" spans="1:6" x14ac:dyDescent="0.3">
      <c r="A38" t="s">
        <v>48</v>
      </c>
      <c r="B38" s="5">
        <f>(Order!K39/Order!J39)</f>
        <v>0.30232558139534882</v>
      </c>
      <c r="C38" t="str">
        <f>TEXT(Order!B39,"MMM-YY")</f>
        <v>May-25</v>
      </c>
      <c r="D38" t="str">
        <f>IF(Order!K39&gt;0,"Profitable", IF(Order!K39&lt;0,"Loss","Break-even"))</f>
        <v>Profitable</v>
      </c>
      <c r="E38" t="str">
        <f>IF(Order!J39&gt;=10000000,"High", IF(Order!J39&lt;=10000000,"Medium","Low"))</f>
        <v>High</v>
      </c>
      <c r="F38" t="str">
        <f>IF(OR(Order!H39/Order!I39&gt;1.5,Order!H39/Order!I39&lt;0.3, ABS(B38)&gt;200), "REVIEW", "OK")</f>
        <v>OK</v>
      </c>
    </row>
    <row r="39" spans="1:6" x14ac:dyDescent="0.3">
      <c r="A39" t="s">
        <v>49</v>
      </c>
      <c r="B39" s="5">
        <f>(Order!K40/Order!J40)</f>
        <v>0.41666666666666669</v>
      </c>
      <c r="C39" t="str">
        <f>TEXT(Order!B40,"MMM-YY")</f>
        <v>May-25</v>
      </c>
      <c r="D39" t="str">
        <f>IF(Order!K40&gt;0,"Profitable", IF(Order!K40&lt;0,"Loss","Break-even"))</f>
        <v>Profitable</v>
      </c>
      <c r="E39" t="str">
        <f>IF(Order!J40&gt;=10000000,"High", IF(Order!J40&lt;=10000000,"Medium","Low"))</f>
        <v>High</v>
      </c>
      <c r="F39" t="str">
        <f>IF(OR(Order!H40/Order!I40&gt;1.5,Order!H40/Order!I40&lt;0.3, ABS(B39)&gt;200), "REVIEW", "OK")</f>
        <v>REVIEW</v>
      </c>
    </row>
    <row r="40" spans="1:6" x14ac:dyDescent="0.3">
      <c r="A40" t="s">
        <v>50</v>
      </c>
      <c r="B40" s="5">
        <f>(Order!K41/Order!J41)</f>
        <v>0.30232558139534882</v>
      </c>
      <c r="C40" t="str">
        <f>TEXT(Order!B41,"MMM-YY")</f>
        <v>May-25</v>
      </c>
      <c r="D40" t="str">
        <f>IF(Order!K41&gt;0,"Profitable", IF(Order!K41&lt;0,"Loss","Break-even"))</f>
        <v>Profitable</v>
      </c>
      <c r="E40" t="str">
        <f>IF(Order!J41&gt;=10000000,"High", IF(Order!J41&lt;=10000000,"Medium","Low"))</f>
        <v>High</v>
      </c>
      <c r="F40" t="str">
        <f>IF(OR(Order!H41/Order!I41&gt;1.5,Order!H41/Order!I41&lt;0.3, ABS(B40)&gt;200), "REVIEW", "OK")</f>
        <v>OK</v>
      </c>
    </row>
    <row r="41" spans="1:6" x14ac:dyDescent="0.3">
      <c r="A41" t="s">
        <v>51</v>
      </c>
      <c r="B41" s="5">
        <f>(Order!K42/Order!J42)</f>
        <v>0.63636363636363635</v>
      </c>
      <c r="C41" t="str">
        <f>TEXT(Order!B42,"MMM-YY")</f>
        <v>May-25</v>
      </c>
      <c r="D41" t="str">
        <f>IF(Order!K42&gt;0,"Profitable", IF(Order!K42&lt;0,"Loss","Break-even"))</f>
        <v>Profitable</v>
      </c>
      <c r="E41" t="str">
        <f>IF(Order!J42&gt;=10000000,"High", IF(Order!J42&lt;=10000000,"Medium","Low"))</f>
        <v>High</v>
      </c>
      <c r="F41" t="str">
        <f>IF(OR(Order!H42/Order!I42&gt;1.5,Order!H42/Order!I42&lt;0.3, ABS(B41)&gt;200), "REVIEW", "OK")</f>
        <v>REVIEW</v>
      </c>
    </row>
    <row r="42" spans="1:6" x14ac:dyDescent="0.3">
      <c r="A42" t="s">
        <v>52</v>
      </c>
      <c r="B42" s="5">
        <f>(Order!K43/Order!J43)</f>
        <v>0.625</v>
      </c>
      <c r="C42" t="str">
        <f>TEXT(Order!B43,"MMM-YY")</f>
        <v>May-25</v>
      </c>
      <c r="D42" t="str">
        <f>IF(Order!K43&gt;0,"Profitable", IF(Order!K43&lt;0,"Loss","Break-even"))</f>
        <v>Profitable</v>
      </c>
      <c r="E42" t="str">
        <f>IF(Order!J43&gt;=10000000,"High", IF(Order!J43&lt;=10000000,"Medium","Low"))</f>
        <v>High</v>
      </c>
      <c r="F42" t="str">
        <f>IF(OR(Order!H43/Order!I43&gt;1.5,Order!H43/Order!I43&lt;0.3, ABS(B42)&gt;200), "REVIEW", "OK")</f>
        <v>REVIEW</v>
      </c>
    </row>
    <row r="43" spans="1:6" x14ac:dyDescent="0.3">
      <c r="A43" t="s">
        <v>53</v>
      </c>
      <c r="B43" s="5">
        <f>(Order!K44/Order!J44)</f>
        <v>0.2857142857142857</v>
      </c>
      <c r="C43" t="str">
        <f>TEXT(Order!B44,"MMM-YY")</f>
        <v>May-25</v>
      </c>
      <c r="D43" t="str">
        <f>IF(Order!K44&gt;0,"Profitable", IF(Order!K44&lt;0,"Loss","Break-even"))</f>
        <v>Profitable</v>
      </c>
      <c r="E43" t="str">
        <f>IF(Order!J44&gt;=10000000,"High", IF(Order!J44&lt;=10000000,"Medium","Low"))</f>
        <v>High</v>
      </c>
      <c r="F43" t="str">
        <f>IF(OR(Order!H44/Order!I44&gt;1.5,Order!H44/Order!I44&lt;0.3, ABS(B43)&gt;200), "REVIEW", "OK")</f>
        <v>OK</v>
      </c>
    </row>
    <row r="44" spans="1:6" x14ac:dyDescent="0.3">
      <c r="A44" t="s">
        <v>54</v>
      </c>
      <c r="B44" s="5">
        <f>(Order!K45/Order!J45)</f>
        <v>0.43333333333333335</v>
      </c>
      <c r="C44" t="str">
        <f>TEXT(Order!B45,"MMM-YY")</f>
        <v>May-25</v>
      </c>
      <c r="D44" t="str">
        <f>IF(Order!K45&gt;0,"Profitable", IF(Order!K45&lt;0,"Loss","Break-even"))</f>
        <v>Profitable</v>
      </c>
      <c r="E44" t="str">
        <f>IF(Order!J45&gt;=10000000,"High", IF(Order!J45&lt;=10000000,"Medium","Low"))</f>
        <v>High</v>
      </c>
      <c r="F44" t="str">
        <f>IF(OR(Order!H45/Order!I45&gt;1.5,Order!H45/Order!I45&lt;0.3, ABS(B44)&gt;200), "REVIEW", "OK")</f>
        <v>REVIEW</v>
      </c>
    </row>
    <row r="45" spans="1:6" x14ac:dyDescent="0.3">
      <c r="A45" t="s">
        <v>55</v>
      </c>
      <c r="B45" s="5">
        <f>(Order!K46/Order!J46)</f>
        <v>0.62857142857142856</v>
      </c>
      <c r="C45" t="str">
        <f>TEXT(Order!B46,"MMM-YY")</f>
        <v>May-25</v>
      </c>
      <c r="D45" t="str">
        <f>IF(Order!K46&gt;0,"Profitable", IF(Order!K46&lt;0,"Loss","Break-even"))</f>
        <v>Profitable</v>
      </c>
      <c r="E45" t="str">
        <f>IF(Order!J46&gt;=10000000,"High", IF(Order!J46&lt;=10000000,"Medium","Low"))</f>
        <v>High</v>
      </c>
      <c r="F45" t="str">
        <f>IF(OR(Order!H46/Order!I46&gt;1.5,Order!H46/Order!I46&lt;0.3, ABS(B45)&gt;200), "REVIEW", "OK")</f>
        <v>REVIEW</v>
      </c>
    </row>
    <row r="46" spans="1:6" x14ac:dyDescent="0.3">
      <c r="A46" t="s">
        <v>56</v>
      </c>
      <c r="B46" s="5">
        <f>(Order!K47/Order!J47)</f>
        <v>0.35714285714285715</v>
      </c>
      <c r="C46" t="str">
        <f>TEXT(Order!B47,"MMM-YY")</f>
        <v>May-25</v>
      </c>
      <c r="D46" t="str">
        <f>IF(Order!K47&gt;0,"Profitable", IF(Order!K47&lt;0,"Loss","Break-even"))</f>
        <v>Profitable</v>
      </c>
      <c r="E46" t="str">
        <f>IF(Order!J47&gt;=10000000,"High", IF(Order!J47&lt;=10000000,"Medium","Low"))</f>
        <v>Medium</v>
      </c>
      <c r="F46" t="str">
        <f>IF(OR(Order!H47/Order!I47&gt;1.5,Order!H47/Order!I47&lt;0.3, ABS(B46)&gt;200), "REVIEW", "OK")</f>
        <v>REVIEW</v>
      </c>
    </row>
    <row r="47" spans="1:6" x14ac:dyDescent="0.3">
      <c r="A47" t="s">
        <v>57</v>
      </c>
      <c r="B47" s="5">
        <f>(Order!K48/Order!J48)</f>
        <v>0.62962962962962965</v>
      </c>
      <c r="C47" t="str">
        <f>TEXT(Order!B48,"MMM-YY")</f>
        <v>May-25</v>
      </c>
      <c r="D47" t="str">
        <f>IF(Order!K48&gt;0,"Profitable", IF(Order!K48&lt;0,"Loss","Break-even"))</f>
        <v>Profitable</v>
      </c>
      <c r="E47" t="str">
        <f>IF(Order!J48&gt;=10000000,"High", IF(Order!J48&lt;=10000000,"Medium","Low"))</f>
        <v>High</v>
      </c>
      <c r="F47" t="str">
        <f>IF(OR(Order!H48/Order!I48&gt;1.5,Order!H48/Order!I48&lt;0.3, ABS(B47)&gt;200), "REVIEW", "OK")</f>
        <v>REVIEW</v>
      </c>
    </row>
    <row r="48" spans="1:6" x14ac:dyDescent="0.3">
      <c r="A48" t="s">
        <v>58</v>
      </c>
      <c r="B48" s="5">
        <f>(Order!K49/Order!J49)</f>
        <v>0.22352941176470589</v>
      </c>
      <c r="C48" t="str">
        <f>TEXT(Order!B49,"MMM-YY")</f>
        <v>May-25</v>
      </c>
      <c r="D48" t="str">
        <f>IF(Order!K49&gt;0,"Profitable", IF(Order!K49&lt;0,"Loss","Break-even"))</f>
        <v>Profitable</v>
      </c>
      <c r="E48" t="str">
        <f>IF(Order!J49&gt;=10000000,"High", IF(Order!J49&lt;=10000000,"Medium","Low"))</f>
        <v>High</v>
      </c>
      <c r="F48" t="str">
        <f>IF(OR(Order!H49/Order!I49&gt;1.5,Order!H49/Order!I49&lt;0.3, ABS(B48)&gt;200), "REVIEW", "OK")</f>
        <v>OK</v>
      </c>
    </row>
    <row r="49" spans="1:6" x14ac:dyDescent="0.3">
      <c r="A49" t="s">
        <v>59</v>
      </c>
      <c r="B49" s="5">
        <f>(Order!K50/Order!J50)</f>
        <v>0.625</v>
      </c>
      <c r="C49" t="str">
        <f>TEXT(Order!B50,"MMM-YY")</f>
        <v>May-25</v>
      </c>
      <c r="D49" t="str">
        <f>IF(Order!K50&gt;0,"Profitable", IF(Order!K50&lt;0,"Loss","Break-even"))</f>
        <v>Profitable</v>
      </c>
      <c r="E49" t="str">
        <f>IF(Order!J50&gt;=10000000,"High", IF(Order!J50&lt;=10000000,"Medium","Low"))</f>
        <v>High</v>
      </c>
      <c r="F49" t="str">
        <f>IF(OR(Order!H50/Order!I50&gt;1.5,Order!H50/Order!I50&lt;0.3, ABS(B49)&gt;200), "REVIEW", "OK")</f>
        <v>REVIEW</v>
      </c>
    </row>
    <row r="50" spans="1:6" x14ac:dyDescent="0.3">
      <c r="A50" t="s">
        <v>60</v>
      </c>
      <c r="B50" s="5">
        <f>(Order!K51/Order!J51)</f>
        <v>0.43333333333333335</v>
      </c>
      <c r="C50" t="str">
        <f>TEXT(Order!B51,"MMM-YY")</f>
        <v>May-25</v>
      </c>
      <c r="D50" t="str">
        <f>IF(Order!K51&gt;0,"Profitable", IF(Order!K51&lt;0,"Loss","Break-even"))</f>
        <v>Profitable</v>
      </c>
      <c r="E50" t="str">
        <f>IF(Order!J51&gt;=10000000,"High", IF(Order!J51&lt;=10000000,"Medium","Low"))</f>
        <v>High</v>
      </c>
      <c r="F50" t="str">
        <f>IF(OR(Order!H51/Order!I51&gt;1.5,Order!H51/Order!I51&lt;0.3, ABS(B50)&gt;200), "REVIEW", "OK")</f>
        <v>REVIEW</v>
      </c>
    </row>
    <row r="51" spans="1:6" x14ac:dyDescent="0.3">
      <c r="A51" t="s">
        <v>61</v>
      </c>
      <c r="B51" s="5">
        <f>(Order!K52/Order!J52)</f>
        <v>0.62857142857142856</v>
      </c>
      <c r="C51" t="str">
        <f>TEXT(Order!B52,"MMM-YY")</f>
        <v>May-25</v>
      </c>
      <c r="D51" t="str">
        <f>IF(Order!K52&gt;0,"Profitable", IF(Order!K52&lt;0,"Loss","Break-even"))</f>
        <v>Profitable</v>
      </c>
      <c r="E51" t="str">
        <f>IF(Order!J52&gt;=10000000,"High", IF(Order!J52&lt;=10000000,"Medium","Low"))</f>
        <v>High</v>
      </c>
      <c r="F51" t="str">
        <f>IF(OR(Order!H52/Order!I52&gt;1.5,Order!H52/Order!I52&lt;0.3, ABS(B51)&gt;200), "REVIEW", "OK")</f>
        <v>REVIEW</v>
      </c>
    </row>
    <row r="52" spans="1:6" x14ac:dyDescent="0.3">
      <c r="A52" t="s">
        <v>62</v>
      </c>
      <c r="B52" s="5">
        <f>(Order!K53/Order!J53)</f>
        <v>-8.5652173913043477</v>
      </c>
      <c r="C52" t="str">
        <f>TEXT(Order!B53,"MMM-YY")</f>
        <v>May-25</v>
      </c>
      <c r="D52" t="str">
        <f>IF(Order!K53&gt;0,"Profitable", IF(Order!K53&lt;0,"Loss","Break-even"))</f>
        <v>Loss</v>
      </c>
      <c r="E52" t="str">
        <f>IF(Order!J53&gt;=10000000,"High", IF(Order!J53&lt;=10000000,"Medium","Low"))</f>
        <v>High</v>
      </c>
      <c r="F52" t="str">
        <f>IF(OR(Order!H53/Order!I53&gt;1.5,Order!H53/Order!I53&lt;0.3, ABS(B52)&gt;200), "REVIEW", "OK")</f>
        <v>REVIEW</v>
      </c>
    </row>
    <row r="53" spans="1:6" x14ac:dyDescent="0.3">
      <c r="A53" t="s">
        <v>63</v>
      </c>
      <c r="B53" s="5">
        <f>(Order!K54/Order!J54)</f>
        <v>0.95132743362831862</v>
      </c>
      <c r="C53" t="str">
        <f>TEXT(Order!B54,"MMM-YY")</f>
        <v>May-25</v>
      </c>
      <c r="D53" t="str">
        <f>IF(Order!K54&gt;0,"Profitable", IF(Order!K54&lt;0,"Loss","Break-even"))</f>
        <v>Profitable</v>
      </c>
      <c r="E53" t="str">
        <f>IF(Order!J54&gt;=10000000,"High", IF(Order!J54&lt;=10000000,"Medium","Low"))</f>
        <v>High</v>
      </c>
      <c r="F53" t="str">
        <f>IF(OR(Order!H54/Order!I54&gt;1.5,Order!H54/Order!I54&lt;0.3, ABS(B53)&gt;200), "REVIEW", "OK")</f>
        <v>REVIEW</v>
      </c>
    </row>
    <row r="54" spans="1:6" x14ac:dyDescent="0.3">
      <c r="A54" t="s">
        <v>64</v>
      </c>
      <c r="B54" s="5">
        <f>(Order!K55/Order!J55)</f>
        <v>-84</v>
      </c>
      <c r="C54" t="str">
        <f>TEXT(Order!B55,"MMM-YY")</f>
        <v>May-25</v>
      </c>
      <c r="D54" t="str">
        <f>IF(Order!K55&gt;0,"Profitable", IF(Order!K55&lt;0,"Loss","Break-even"))</f>
        <v>Loss</v>
      </c>
      <c r="E54" t="str">
        <f>IF(Order!J55&gt;=10000000,"High", IF(Order!J55&lt;=10000000,"Medium","Low"))</f>
        <v>High</v>
      </c>
      <c r="F54" t="str">
        <f>IF(OR(Order!H55/Order!I55&gt;1.5,Order!H55/Order!I55&lt;0.3, ABS(B54)&gt;200), "REVIEW", "OK")</f>
        <v>REVIEW</v>
      </c>
    </row>
    <row r="55" spans="1:6" x14ac:dyDescent="0.3">
      <c r="A55" t="s">
        <v>65</v>
      </c>
      <c r="B55" s="5">
        <f>(Order!K56/Order!J56)</f>
        <v>-0.36452241715399608</v>
      </c>
      <c r="C55" t="str">
        <f>TEXT(Order!B56,"MMM-YY")</f>
        <v>May-25</v>
      </c>
      <c r="D55" t="str">
        <f>IF(Order!K56&gt;0,"Profitable", IF(Order!K56&lt;0,"Loss","Break-even"))</f>
        <v>Loss</v>
      </c>
      <c r="E55" t="str">
        <f>IF(Order!J56&gt;=10000000,"High", IF(Order!J56&lt;=10000000,"Medium","Low"))</f>
        <v>High</v>
      </c>
      <c r="F55" t="str">
        <f>IF(OR(Order!H56/Order!I56&gt;1.5,Order!H56/Order!I56&lt;0.3, ABS(B55)&gt;200), "REVIEW", "OK")</f>
        <v>OK</v>
      </c>
    </row>
    <row r="56" spans="1:6" x14ac:dyDescent="0.3">
      <c r="A56" t="s">
        <v>66</v>
      </c>
      <c r="B56" s="5">
        <f>(Order!K57/Order!J57)</f>
        <v>-51.269043760129662</v>
      </c>
      <c r="C56" t="str">
        <f>TEXT(Order!B57,"MMM-YY")</f>
        <v>May-25</v>
      </c>
      <c r="D56" t="str">
        <f>IF(Order!K57&gt;0,"Profitable", IF(Order!K57&lt;0,"Loss","Break-even"))</f>
        <v>Loss</v>
      </c>
      <c r="E56" t="str">
        <f>IF(Order!J57&gt;=10000000,"High", IF(Order!J57&lt;=10000000,"Medium","Low"))</f>
        <v>High</v>
      </c>
      <c r="F56" t="str">
        <f>IF(OR(Order!H57/Order!I57&gt;1.5,Order!H57/Order!I57&lt;0.3, ABS(B56)&gt;200), "REVIEW", "OK")</f>
        <v>REVIEW</v>
      </c>
    </row>
    <row r="57" spans="1:6" x14ac:dyDescent="0.3">
      <c r="A57" t="s">
        <v>67</v>
      </c>
      <c r="B57" s="5">
        <f>(Order!K58/Order!J58)</f>
        <v>6.3962558502340089E-2</v>
      </c>
      <c r="C57" t="str">
        <f>TEXT(Order!B58,"MMM-YY")</f>
        <v>May-25</v>
      </c>
      <c r="D57" t="str">
        <f>IF(Order!K58&gt;0,"Profitable", IF(Order!K58&lt;0,"Loss","Break-even"))</f>
        <v>Profitable</v>
      </c>
      <c r="E57" t="str">
        <f>IF(Order!J58&gt;=10000000,"High", IF(Order!J58&lt;=10000000,"Medium","Low"))</f>
        <v>High</v>
      </c>
      <c r="F57" t="str">
        <f>IF(OR(Order!H58/Order!I58&gt;1.5,Order!H58/Order!I58&lt;0.3, ABS(B57)&gt;200), "REVIEW", "OK")</f>
        <v>OK</v>
      </c>
    </row>
    <row r="58" spans="1:6" x14ac:dyDescent="0.3">
      <c r="A58" t="s">
        <v>68</v>
      </c>
      <c r="B58" s="5">
        <f>(Order!K59/Order!J59)</f>
        <v>-2.3681374200067364</v>
      </c>
      <c r="C58" t="str">
        <f>TEXT(Order!B59,"MMM-YY")</f>
        <v>May-25</v>
      </c>
      <c r="D58" t="str">
        <f>IF(Order!K59&gt;0,"Profitable", IF(Order!K59&lt;0,"Loss","Break-even"))</f>
        <v>Loss</v>
      </c>
      <c r="E58" t="str">
        <f>IF(Order!J59&gt;=10000000,"High", IF(Order!J59&lt;=10000000,"Medium","Low"))</f>
        <v>High</v>
      </c>
      <c r="F58" t="str">
        <f>IF(OR(Order!H59/Order!I59&gt;1.5,Order!H59/Order!I59&lt;0.3, ABS(B58)&gt;200), "REVIEW", "OK")</f>
        <v>REVIEW</v>
      </c>
    </row>
    <row r="59" spans="1:6" x14ac:dyDescent="0.3">
      <c r="A59" t="s">
        <v>69</v>
      </c>
      <c r="B59" s="5">
        <f>(Order!K60/Order!J60)</f>
        <v>-11.490815576781777</v>
      </c>
      <c r="C59" t="str">
        <f>TEXT(Order!B60,"MMM-YY")</f>
        <v>May-25</v>
      </c>
      <c r="D59" t="str">
        <f>IF(Order!K60&gt;0,"Profitable", IF(Order!K60&lt;0,"Loss","Break-even"))</f>
        <v>Loss</v>
      </c>
      <c r="E59" t="str">
        <f>IF(Order!J60&gt;=10000000,"High", IF(Order!J60&lt;=10000000,"Medium","Low"))</f>
        <v>High</v>
      </c>
      <c r="F59" t="str">
        <f>IF(OR(Order!H60/Order!I60&gt;1.5,Order!H60/Order!I60&lt;0.3, ABS(B59)&gt;200), "REVIEW", "OK")</f>
        <v>REVIEW</v>
      </c>
    </row>
    <row r="60" spans="1:6" x14ac:dyDescent="0.3">
      <c r="A60" t="s">
        <v>70</v>
      </c>
      <c r="B60" s="5">
        <f>(Order!K61/Order!J61)</f>
        <v>0.3416561006534673</v>
      </c>
      <c r="C60" t="str">
        <f>TEXT(Order!B61,"MMM-YY")</f>
        <v>May-25</v>
      </c>
      <c r="D60" t="str">
        <f>IF(Order!K61&gt;0,"Profitable", IF(Order!K61&lt;0,"Loss","Break-even"))</f>
        <v>Profitable</v>
      </c>
      <c r="E60" t="str">
        <f>IF(Order!J61&gt;=10000000,"High", IF(Order!J61&lt;=10000000,"Medium","Low"))</f>
        <v>High</v>
      </c>
      <c r="F60" t="str">
        <f>IF(OR(Order!H61/Order!I61&gt;1.5,Order!H61/Order!I61&lt;0.3, ABS(B60)&gt;200), "REVIEW", "OK")</f>
        <v>REVIEW</v>
      </c>
    </row>
    <row r="61" spans="1:6" x14ac:dyDescent="0.3">
      <c r="A61" t="s">
        <v>71</v>
      </c>
      <c r="B61" s="5">
        <f>(Order!K62/Order!J62)</f>
        <v>-0.22627737226277372</v>
      </c>
      <c r="C61" t="str">
        <f>TEXT(Order!B62,"MMM-YY")</f>
        <v>May-25</v>
      </c>
      <c r="D61" t="str">
        <f>IF(Order!K62&gt;0,"Profitable", IF(Order!K62&lt;0,"Loss","Break-even"))</f>
        <v>Loss</v>
      </c>
      <c r="E61" t="str">
        <f>IF(Order!J62&gt;=10000000,"High", IF(Order!J62&lt;=10000000,"Medium","Low"))</f>
        <v>High</v>
      </c>
      <c r="F61" t="str">
        <f>IF(OR(Order!H62/Order!I62&gt;1.5,Order!H62/Order!I62&lt;0.3, ABS(B61)&gt;200), "REVIEW", "OK")</f>
        <v>OK</v>
      </c>
    </row>
    <row r="62" spans="1:6" x14ac:dyDescent="0.3">
      <c r="A62" t="s">
        <v>72</v>
      </c>
      <c r="B62" s="5">
        <f>(Order!K63/Order!J63)</f>
        <v>-7.8962108731466225</v>
      </c>
      <c r="C62" t="str">
        <f>TEXT(Order!B63,"MMM-YY")</f>
        <v>May-25</v>
      </c>
      <c r="D62" t="str">
        <f>IF(Order!K63&gt;0,"Profitable", IF(Order!K63&lt;0,"Loss","Break-even"))</f>
        <v>Loss</v>
      </c>
      <c r="E62" t="str">
        <f>IF(Order!J63&gt;=10000000,"High", IF(Order!J63&lt;=10000000,"Medium","Low"))</f>
        <v>High</v>
      </c>
      <c r="F62" t="str">
        <f>IF(OR(Order!H63/Order!I63&gt;1.5,Order!H63/Order!I63&lt;0.3, ABS(B62)&gt;200), "REVIEW", "OK")</f>
        <v>REVIEW</v>
      </c>
    </row>
    <row r="63" spans="1:6" x14ac:dyDescent="0.3">
      <c r="A63" t="s">
        <v>73</v>
      </c>
      <c r="B63" s="5">
        <f>(Order!K64/Order!J64)</f>
        <v>0.55741332677649369</v>
      </c>
      <c r="C63" t="str">
        <f>TEXT(Order!B64,"MMM-YY")</f>
        <v>Jun-25</v>
      </c>
      <c r="D63" t="str">
        <f>IF(Order!K64&gt;0,"Profitable", IF(Order!K64&lt;0,"Loss","Break-even"))</f>
        <v>Profitable</v>
      </c>
      <c r="E63" t="str">
        <f>IF(Order!J64&gt;=10000000,"High", IF(Order!J64&lt;=10000000,"Medium","Low"))</f>
        <v>High</v>
      </c>
      <c r="F63" t="str">
        <f>IF(OR(Order!H64/Order!I64&gt;1.5,Order!H64/Order!I64&lt;0.3, ABS(B63)&gt;200), "REVIEW", "OK")</f>
        <v>REVIEW</v>
      </c>
    </row>
    <row r="64" spans="1:6" x14ac:dyDescent="0.3">
      <c r="A64" t="s">
        <v>74</v>
      </c>
      <c r="B64" s="5">
        <f>(Order!K65/Order!J65)</f>
        <v>0.91202111493241622</v>
      </c>
      <c r="C64" t="str">
        <f>TEXT(Order!B65,"MMM-YY")</f>
        <v>Jun-25</v>
      </c>
      <c r="D64" t="str">
        <f>IF(Order!K65&gt;0,"Profitable", IF(Order!K65&lt;0,"Loss","Break-even"))</f>
        <v>Profitable</v>
      </c>
      <c r="E64" t="str">
        <f>IF(Order!J65&gt;=10000000,"High", IF(Order!J65&lt;=10000000,"Medium","Low"))</f>
        <v>High</v>
      </c>
      <c r="F64" t="str">
        <f>IF(OR(Order!H65/Order!I65&gt;1.5,Order!H65/Order!I65&lt;0.3, ABS(B64)&gt;200), "REVIEW", "OK")</f>
        <v>REVIEW</v>
      </c>
    </row>
    <row r="65" spans="1:6" x14ac:dyDescent="0.3">
      <c r="A65" t="s">
        <v>75</v>
      </c>
      <c r="B65" s="5">
        <f>(Order!K66/Order!J66)</f>
        <v>6.3962558502340089E-2</v>
      </c>
      <c r="C65" t="str">
        <f>TEXT(Order!B66,"MMM-YY")</f>
        <v>Jun-25</v>
      </c>
      <c r="D65" t="str">
        <f>IF(Order!K66&gt;0,"Profitable", IF(Order!K66&lt;0,"Loss","Break-even"))</f>
        <v>Profitable</v>
      </c>
      <c r="E65" t="str">
        <f>IF(Order!J66&gt;=10000000,"High", IF(Order!J66&lt;=10000000,"Medium","Low"))</f>
        <v>High</v>
      </c>
      <c r="F65" t="str">
        <f>IF(OR(Order!H66/Order!I66&gt;1.5,Order!H66/Order!I66&lt;0.3, ABS(B65)&gt;200), "REVIEW", "OK")</f>
        <v>OK</v>
      </c>
    </row>
    <row r="66" spans="1:6" x14ac:dyDescent="0.3">
      <c r="A66" t="s">
        <v>76</v>
      </c>
      <c r="B66" s="5">
        <f>(Order!K67/Order!J67)</f>
        <v>-0.13203275348100071</v>
      </c>
      <c r="C66" t="str">
        <f>TEXT(Order!B67,"MMM-YY")</f>
        <v>Jun-25</v>
      </c>
      <c r="D66" t="str">
        <f>IF(Order!K67&gt;0,"Profitable", IF(Order!K67&lt;0,"Loss","Break-even"))</f>
        <v>Loss</v>
      </c>
      <c r="E66" t="str">
        <f>IF(Order!J67&gt;=10000000,"High", IF(Order!J67&lt;=10000000,"Medium","Low"))</f>
        <v>High</v>
      </c>
      <c r="F66" t="str">
        <f>IF(OR(Order!H67/Order!I67&gt;1.5,Order!H67/Order!I67&lt;0.3, ABS(B66)&gt;200), "REVIEW", "OK")</f>
        <v>OK</v>
      </c>
    </row>
    <row r="67" spans="1:6" x14ac:dyDescent="0.3">
      <c r="A67" t="s">
        <v>77</v>
      </c>
      <c r="B67" s="5">
        <f>(Order!K68/Order!J68)</f>
        <v>-0.63258642504387574</v>
      </c>
      <c r="C67" t="str">
        <f>TEXT(Order!B68,"MMM-YY")</f>
        <v>Jun-25</v>
      </c>
      <c r="D67" t="str">
        <f>IF(Order!K68&gt;0,"Profitable", IF(Order!K68&lt;0,"Loss","Break-even"))</f>
        <v>Loss</v>
      </c>
      <c r="E67" t="str">
        <f>IF(Order!J68&gt;=10000000,"High", IF(Order!J68&lt;=10000000,"Medium","Low"))</f>
        <v>High</v>
      </c>
      <c r="F67" t="str">
        <f>IF(OR(Order!H68/Order!I68&gt;1.5,Order!H68/Order!I68&lt;0.3, ABS(B67)&gt;200), "REVIEW", "OK")</f>
        <v>OK</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01259-E874-4183-AD61-DC6F269D9BB6}">
  <dimension ref="A2:I26"/>
  <sheetViews>
    <sheetView tabSelected="1" topLeftCell="B1" zoomScale="56" workbookViewId="0">
      <selection activeCell="F10" sqref="F10"/>
    </sheetView>
  </sheetViews>
  <sheetFormatPr defaultRowHeight="14.4" x14ac:dyDescent="0.3"/>
  <cols>
    <col min="1" max="1" width="50.77734375" bestFit="1" customWidth="1"/>
    <col min="2" max="2" width="24.5546875" customWidth="1"/>
    <col min="3" max="3" width="12" customWidth="1"/>
    <col min="6" max="6" width="23" customWidth="1"/>
    <col min="7" max="7" width="19.5546875" bestFit="1" customWidth="1"/>
  </cols>
  <sheetData>
    <row r="2" spans="1:9" x14ac:dyDescent="0.3">
      <c r="A2" s="1" t="s">
        <v>124</v>
      </c>
      <c r="E2" s="1" t="s">
        <v>187</v>
      </c>
      <c r="F2" s="1" t="s">
        <v>188</v>
      </c>
      <c r="G2" s="35"/>
      <c r="H2" s="36"/>
      <c r="I2" s="1"/>
    </row>
    <row r="3" spans="1:9" x14ac:dyDescent="0.3">
      <c r="E3" s="35" t="s">
        <v>189</v>
      </c>
      <c r="F3" s="8">
        <f>SUMIFS(Order!J3:J68,Order!B3:B68,"&gt;=4/1/2025",Order!B3:B68, "&lt;5/1/2025")</f>
        <v>29988136160</v>
      </c>
    </row>
    <row r="4" spans="1:9" x14ac:dyDescent="0.3">
      <c r="A4" t="s">
        <v>125</v>
      </c>
      <c r="E4" s="36" t="s">
        <v>190</v>
      </c>
      <c r="F4" s="8">
        <f>SUMIFS(Order!J3:J68,Order!B3:B68, "&gt;5/1/2025",Order!B3:B68, "&lt;6/1/2025")</f>
        <v>25308066065</v>
      </c>
    </row>
    <row r="5" spans="1:9" x14ac:dyDescent="0.3">
      <c r="A5" t="s">
        <v>126</v>
      </c>
      <c r="B5">
        <f>COUNTA(Analysis!A:A) -1</f>
        <v>66</v>
      </c>
      <c r="E5" s="27" t="s">
        <v>191</v>
      </c>
      <c r="F5" s="8">
        <f>SUMIFS(Order!J3:J68,Order!B3:B68,"&gt;=6/1/2025", Order!B3:B68,"&lt;7/1/2025")</f>
        <v>2010791519</v>
      </c>
    </row>
    <row r="6" spans="1:9" x14ac:dyDescent="0.3">
      <c r="A6" t="s">
        <v>127</v>
      </c>
      <c r="B6">
        <f>COUNTIF(Analysis!F:F,"OK")</f>
        <v>13</v>
      </c>
    </row>
    <row r="7" spans="1:9" x14ac:dyDescent="0.3">
      <c r="A7" t="s">
        <v>128</v>
      </c>
      <c r="B7">
        <f>COUNTIF(Analysis!F:F, "REVIEW")</f>
        <v>53</v>
      </c>
    </row>
    <row r="8" spans="1:9" x14ac:dyDescent="0.3">
      <c r="A8" t="s">
        <v>129</v>
      </c>
      <c r="B8" s="5">
        <f>B6/B5</f>
        <v>0.19696969696969696</v>
      </c>
    </row>
    <row r="10" spans="1:9" x14ac:dyDescent="0.3">
      <c r="A10" t="s">
        <v>130</v>
      </c>
    </row>
    <row r="11" spans="1:9" x14ac:dyDescent="0.3">
      <c r="A11" t="s">
        <v>131</v>
      </c>
      <c r="B11" s="4">
        <f>SUM(Order!J2:J68)</f>
        <v>57838893744</v>
      </c>
    </row>
    <row r="12" spans="1:9" x14ac:dyDescent="0.3">
      <c r="A12" t="s">
        <v>144</v>
      </c>
      <c r="B12" s="4">
        <f>SUM(Order!K3:K68)</f>
        <v>-15264817766</v>
      </c>
    </row>
    <row r="13" spans="1:9" x14ac:dyDescent="0.3">
      <c r="A13" t="s">
        <v>132</v>
      </c>
      <c r="B13" s="4">
        <f>B11/B5</f>
        <v>876346874.90909088</v>
      </c>
    </row>
    <row r="14" spans="1:9" x14ac:dyDescent="0.3">
      <c r="A14" t="s">
        <v>133</v>
      </c>
      <c r="B14" s="5">
        <f>B12/B11</f>
        <v>-0.26391960111760465</v>
      </c>
    </row>
    <row r="15" spans="1:9" x14ac:dyDescent="0.3">
      <c r="A15" t="s">
        <v>134</v>
      </c>
      <c r="B15">
        <f>SUM(Order!G:G)</f>
        <v>4943052</v>
      </c>
    </row>
    <row r="16" spans="1:9" x14ac:dyDescent="0.3">
      <c r="A16" t="s">
        <v>135</v>
      </c>
      <c r="B16">
        <f>COUNTIF(Analysis!D:D,"Profitable")</f>
        <v>56</v>
      </c>
    </row>
    <row r="17" spans="1:2" x14ac:dyDescent="0.3">
      <c r="A17" t="s">
        <v>136</v>
      </c>
      <c r="B17">
        <f>COUNTIF(Analysis!D:D, "LOSS")</f>
        <v>10</v>
      </c>
    </row>
    <row r="19" spans="1:2" x14ac:dyDescent="0.3">
      <c r="A19" t="s">
        <v>137</v>
      </c>
    </row>
    <row r="20" spans="1:2" x14ac:dyDescent="0.3">
      <c r="A20" t="s">
        <v>138</v>
      </c>
      <c r="B20" s="4">
        <f ca="1">SUMIF(Analysis!F:F, "OK",Order!J2:J68)</f>
        <v>13254139693</v>
      </c>
    </row>
    <row r="21" spans="1:2" x14ac:dyDescent="0.3">
      <c r="A21" t="s">
        <v>139</v>
      </c>
      <c r="B21" s="4">
        <f ca="1">SUMIF(Analysis!F:F, "OK",Order!K2:K68)</f>
        <v>1152622693</v>
      </c>
    </row>
    <row r="22" spans="1:2" x14ac:dyDescent="0.3">
      <c r="A22" t="s">
        <v>140</v>
      </c>
      <c r="B22" s="6">
        <f ca="1">B21/B6</f>
        <v>88663284.076923072</v>
      </c>
    </row>
    <row r="23" spans="1:2" x14ac:dyDescent="0.3">
      <c r="A23" t="s">
        <v>133</v>
      </c>
      <c r="B23" s="5">
        <f ca="1">(B21/B20)</f>
        <v>8.6963222034602716E-2</v>
      </c>
    </row>
    <row r="24" spans="1:2" x14ac:dyDescent="0.3">
      <c r="A24" t="s">
        <v>141</v>
      </c>
      <c r="B24" s="4">
        <f ca="1" xml:space="preserve"> SUMIF(Analysis!F:F, "OK", Order!G2:G69)</f>
        <v>609509</v>
      </c>
    </row>
    <row r="25" spans="1:2" x14ac:dyDescent="0.3">
      <c r="A25" t="s">
        <v>142</v>
      </c>
      <c r="B25">
        <f>COUNTIFS(Analysis!D:D, "Profitable", Analysis!F:F, "OK")</f>
        <v>9</v>
      </c>
    </row>
    <row r="26" spans="1:2" x14ac:dyDescent="0.3">
      <c r="A26" t="s">
        <v>143</v>
      </c>
      <c r="B26">
        <f>COUNTIFS(Analysis!D:D,"Loss",Analysis!F:F, "OK")</f>
        <v>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9A137-B914-4244-836D-1A8804AA5D9A}">
  <dimension ref="A1:K9"/>
  <sheetViews>
    <sheetView workbookViewId="0">
      <selection activeCell="G25" sqref="G25"/>
    </sheetView>
  </sheetViews>
  <sheetFormatPr defaultRowHeight="14.4" x14ac:dyDescent="0.3"/>
  <cols>
    <col min="1" max="1" width="8.88671875" customWidth="1"/>
    <col min="2" max="2" width="17.77734375" style="4" customWidth="1"/>
    <col min="3" max="3" width="18" style="4" customWidth="1"/>
    <col min="4" max="4" width="14.33203125" style="4" customWidth="1"/>
    <col min="5" max="5" width="33.77734375" style="4" bestFit="1" customWidth="1"/>
    <col min="6" max="6" width="14.88671875" customWidth="1"/>
    <col min="7" max="7" width="9.88671875" customWidth="1"/>
  </cols>
  <sheetData>
    <row r="1" spans="1:11" x14ac:dyDescent="0.3">
      <c r="E1" s="7" t="s">
        <v>145</v>
      </c>
    </row>
    <row r="2" spans="1:11" ht="13.2" customHeight="1" x14ac:dyDescent="0.3">
      <c r="E2" s="7"/>
    </row>
    <row r="3" spans="1:11" x14ac:dyDescent="0.3">
      <c r="A3" s="9" t="s">
        <v>146</v>
      </c>
      <c r="B3" s="10" t="s">
        <v>147</v>
      </c>
      <c r="C3" s="10" t="s">
        <v>148</v>
      </c>
      <c r="D3" s="10" t="s">
        <v>149</v>
      </c>
      <c r="E3" s="10" t="s">
        <v>150</v>
      </c>
      <c r="F3" s="11" t="s">
        <v>151</v>
      </c>
      <c r="G3" s="12" t="s">
        <v>152</v>
      </c>
      <c r="H3" s="1"/>
      <c r="I3" s="1"/>
      <c r="J3" s="1"/>
      <c r="K3" s="1"/>
    </row>
    <row r="4" spans="1:11" x14ac:dyDescent="0.3">
      <c r="A4" t="s">
        <v>78</v>
      </c>
      <c r="B4" s="8">
        <f>SUMIF(Order!C3:C68,"North",Order!J3:J68)</f>
        <v>3634429197</v>
      </c>
      <c r="C4" s="8">
        <f>SUMIF(Order!C3:C68,"North",Order!K3:K68)</f>
        <v>-20984653303</v>
      </c>
      <c r="D4">
        <f>COUNTIF(Order!C3:C68,"North")</f>
        <v>14</v>
      </c>
      <c r="E4" s="8">
        <f>Regional_Analysis!B4/Regional_Analysis!D4</f>
        <v>259602085.5</v>
      </c>
      <c r="F4" s="5">
        <f>(C4/B4)</f>
        <v>-5.7738511786999602</v>
      </c>
      <c r="G4">
        <f>RANK(B4,$B$4:$B$7,0)</f>
        <v>4</v>
      </c>
    </row>
    <row r="5" spans="1:11" x14ac:dyDescent="0.3">
      <c r="A5" t="s">
        <v>81</v>
      </c>
      <c r="B5" s="8">
        <f>SUMIF(Order!C3:C68,"South",Order!J3:J68)</f>
        <v>10035166296</v>
      </c>
      <c r="C5" s="8">
        <f>SUMIF(Order!C3:C68,"South",Order!K3:K68)</f>
        <v>-17155981404</v>
      </c>
      <c r="D5">
        <f>COUNTIF(Order!C2:C68,"South")</f>
        <v>18</v>
      </c>
      <c r="E5" s="8">
        <f>Regional_Analysis!B5/Regional_Analysis!D5</f>
        <v>557509238.66666663</v>
      </c>
      <c r="F5" s="5">
        <f t="shared" ref="F5:F7" si="0">C5/B5</f>
        <v>-1.7095861591091266</v>
      </c>
      <c r="G5">
        <f t="shared" ref="G5:G7" si="1">RANK(B5,$B$4:$B$7,0)</f>
        <v>3</v>
      </c>
    </row>
    <row r="6" spans="1:11" x14ac:dyDescent="0.3">
      <c r="A6" t="s">
        <v>79</v>
      </c>
      <c r="B6" s="8">
        <f>SUMIF(Order!C3:C68,"East",Order!J3:J68)</f>
        <v>29224891311</v>
      </c>
      <c r="C6" s="8">
        <f>SUMIF(Order!C3:C68,"East",Order!K3:K68)</f>
        <v>17680572251</v>
      </c>
      <c r="D6">
        <f>COUNTIF(Order!C3:C68,"East")</f>
        <v>17</v>
      </c>
      <c r="E6" s="8">
        <f>Regional_Analysis!B6/Regional_Analysis!D6</f>
        <v>1719111253.5882354</v>
      </c>
      <c r="F6" s="5">
        <f t="shared" si="0"/>
        <v>0.60498333639123525</v>
      </c>
      <c r="G6" s="18">
        <f t="shared" si="1"/>
        <v>1</v>
      </c>
    </row>
    <row r="7" spans="1:11" x14ac:dyDescent="0.3">
      <c r="A7" t="s">
        <v>80</v>
      </c>
      <c r="B7" s="8">
        <f>SUMIF(Order!C3:C68,"West",Order!J3:J68)</f>
        <v>14944406940</v>
      </c>
      <c r="C7" s="8">
        <f>SUMIF(Order!C3:C68,"West",Order!K3:K68)</f>
        <v>5195244690</v>
      </c>
      <c r="D7">
        <f>COUNTIF(Order!C6:C68,"West")</f>
        <v>17</v>
      </c>
      <c r="E7" s="8">
        <f>Regional_Analysis!B7/Regional_Analysis!D7</f>
        <v>879082761.17647064</v>
      </c>
      <c r="F7" s="5">
        <f t="shared" si="0"/>
        <v>0.34763806358179911</v>
      </c>
      <c r="G7">
        <f t="shared" si="1"/>
        <v>2</v>
      </c>
    </row>
    <row r="8" spans="1:11" x14ac:dyDescent="0.3">
      <c r="B8" s="8"/>
      <c r="C8" s="8"/>
      <c r="D8"/>
      <c r="E8" s="8"/>
    </row>
    <row r="9" spans="1:11" x14ac:dyDescent="0.3">
      <c r="A9" s="14" t="s">
        <v>153</v>
      </c>
      <c r="B9" s="15">
        <f>SUM(B4:B7)</f>
        <v>57838893744</v>
      </c>
      <c r="C9" s="15">
        <f>SUM(C4:C7)</f>
        <v>-15264817766</v>
      </c>
      <c r="D9" s="16">
        <f>SUM(D4:D7)</f>
        <v>66</v>
      </c>
      <c r="E9" s="15">
        <f>SUM(E4:E7)</f>
        <v>3415305338.9313726</v>
      </c>
      <c r="F9" s="17">
        <f>SUM(F4:F8)</f>
        <v>-6.530815937836052</v>
      </c>
      <c r="G9" s="1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EA421-F066-4559-967E-21A21CF30319}">
  <dimension ref="A1:H8"/>
  <sheetViews>
    <sheetView zoomScale="90" workbookViewId="0">
      <selection activeCell="F21" sqref="F21"/>
    </sheetView>
  </sheetViews>
  <sheetFormatPr defaultRowHeight="14.4" x14ac:dyDescent="0.3"/>
  <cols>
    <col min="1" max="1" width="16.109375" bestFit="1" customWidth="1"/>
    <col min="2" max="2" width="22.88671875" customWidth="1"/>
    <col min="3" max="3" width="19.6640625" style="8" customWidth="1"/>
    <col min="5" max="5" width="11.109375" bestFit="1" customWidth="1"/>
    <col min="6" max="6" width="41.5546875" bestFit="1" customWidth="1"/>
    <col min="7" max="7" width="12" style="5" bestFit="1" customWidth="1"/>
    <col min="8" max="8" width="13.44140625" style="5" bestFit="1" customWidth="1"/>
  </cols>
  <sheetData>
    <row r="1" spans="1:8" x14ac:dyDescent="0.3">
      <c r="C1" s="19"/>
      <c r="F1" s="1" t="s">
        <v>154</v>
      </c>
    </row>
    <row r="2" spans="1:8" x14ac:dyDescent="0.3">
      <c r="C2" s="19"/>
    </row>
    <row r="3" spans="1:8" x14ac:dyDescent="0.3">
      <c r="A3" s="9" t="s">
        <v>155</v>
      </c>
      <c r="B3" s="22" t="s">
        <v>147</v>
      </c>
      <c r="C3" s="23" t="s">
        <v>144</v>
      </c>
      <c r="D3" s="11" t="s">
        <v>156</v>
      </c>
      <c r="E3" s="11" t="s">
        <v>157</v>
      </c>
      <c r="F3" s="22" t="s">
        <v>150</v>
      </c>
      <c r="G3" s="24" t="s">
        <v>158</v>
      </c>
      <c r="H3" s="25" t="s">
        <v>159</v>
      </c>
    </row>
    <row r="4" spans="1:8" x14ac:dyDescent="0.3">
      <c r="A4" t="s">
        <v>86</v>
      </c>
      <c r="B4" s="8">
        <f>SUMIF(Order!E2:E68, "Mobile",Order!J2:J69)</f>
        <v>16622247067</v>
      </c>
      <c r="C4" s="8">
        <f>SUMIF(Order!E3:E68,"Mobile",Order!K3:K68)</f>
        <v>-13775490733</v>
      </c>
      <c r="D4">
        <f>SUMIF(Order!E2:E68,"Mobile",Order!G2:G68)</f>
        <v>1010655</v>
      </c>
      <c r="E4">
        <f>COUNTIF(Order!E2:E68,"Mobile")</f>
        <v>23</v>
      </c>
      <c r="F4" s="8">
        <f>B4/E4</f>
        <v>722706394.21739125</v>
      </c>
      <c r="G4" s="5">
        <f>C4/B4</f>
        <v>-0.82873817706321784</v>
      </c>
      <c r="H4" s="5">
        <f ca="1">(B4/$B$8)</f>
        <v>0.28738874468400999</v>
      </c>
    </row>
    <row r="5" spans="1:8" x14ac:dyDescent="0.3">
      <c r="A5" t="s">
        <v>88</v>
      </c>
      <c r="B5" s="8">
        <f>SUMIF(Order!E2:E68,"Laptop",Order!J2:J68)</f>
        <v>36058258337</v>
      </c>
      <c r="C5" s="8">
        <f ca="1">SUMIF(Order!E3:E69,"Laptop",Order!K3:K68)</f>
        <v>4401468337</v>
      </c>
      <c r="D5">
        <f>SUMIF(Order!E2:E68,"Laptop",Order!G2:G68)</f>
        <v>741760</v>
      </c>
      <c r="E5">
        <f>COUNTIF(Order!E2:E68,"Laptop")</f>
        <v>23</v>
      </c>
      <c r="F5" s="8">
        <f t="shared" ref="F5:F6" si="0">B5/E5</f>
        <v>1567750362.4782608</v>
      </c>
      <c r="G5" s="5">
        <f ca="1">C5/B5</f>
        <v>0.12206547237706092</v>
      </c>
      <c r="H5" s="20">
        <f t="shared" ref="H5:H6" ca="1" si="1">(B5/$B$8)</f>
        <v>0.62342579539292375</v>
      </c>
    </row>
    <row r="6" spans="1:8" x14ac:dyDescent="0.3">
      <c r="A6" t="s">
        <v>87</v>
      </c>
      <c r="B6" s="8">
        <f ca="1">SUMIF(Order!E3:E69,"Accessories",Order!J3:J68)</f>
        <v>5158388340</v>
      </c>
      <c r="C6" s="8">
        <f ca="1">SUMIF(Order!E3:E70,"Accessories",Order!K3:K68)</f>
        <v>-5890795370</v>
      </c>
      <c r="D6">
        <f>SUMIF(Order!E2:E68,"Accessories",Order!G2:G68)</f>
        <v>719111</v>
      </c>
      <c r="E6">
        <f>COUNTIF(Order!E2:E68,"Accessories")</f>
        <v>20</v>
      </c>
      <c r="F6" s="8">
        <f t="shared" ca="1" si="0"/>
        <v>257919417</v>
      </c>
      <c r="G6" s="5">
        <f ca="1">C6/B6</f>
        <v>-1.1419836936898784</v>
      </c>
      <c r="H6" s="5">
        <f t="shared" ca="1" si="1"/>
        <v>8.9185459923066257E-2</v>
      </c>
    </row>
    <row r="8" spans="1:8" x14ac:dyDescent="0.3">
      <c r="A8" s="1" t="s">
        <v>160</v>
      </c>
      <c r="B8" s="8">
        <f ca="1">SUM(B4:B6)</f>
        <v>57838893744</v>
      </c>
      <c r="C8" s="8">
        <f ca="1">SUM(C4:C6)</f>
        <v>-15264817766</v>
      </c>
      <c r="D8">
        <f>SUM(D4:D7)</f>
        <v>2471526</v>
      </c>
      <c r="E8">
        <f>SUM(E4:E6)</f>
        <v>66</v>
      </c>
      <c r="F8" s="8">
        <f ca="1">SUM(F4:F6)</f>
        <v>2548376173.695652</v>
      </c>
      <c r="G8" s="5">
        <f ca="1">SUM(G4:G6)</f>
        <v>-1.8486563983760353</v>
      </c>
      <c r="H8" s="21">
        <f ca="1">SUM(H4:H6)</f>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C33CE-0370-418C-8319-90D0AB513DA5}">
  <dimension ref="A1:B40"/>
  <sheetViews>
    <sheetView topLeftCell="A14" zoomScale="68" workbookViewId="0">
      <selection activeCell="B8" sqref="B8"/>
    </sheetView>
  </sheetViews>
  <sheetFormatPr defaultRowHeight="14.4" x14ac:dyDescent="0.3"/>
  <cols>
    <col min="1" max="1" width="101.44140625" customWidth="1"/>
    <col min="2" max="2" width="30" customWidth="1"/>
  </cols>
  <sheetData>
    <row r="1" spans="1:2" x14ac:dyDescent="0.3">
      <c r="A1" s="33" t="s">
        <v>161</v>
      </c>
    </row>
    <row r="2" spans="1:2" x14ac:dyDescent="0.3">
      <c r="A2" s="27" t="s">
        <v>162</v>
      </c>
      <c r="B2" s="1"/>
    </row>
    <row r="3" spans="1:2" x14ac:dyDescent="0.3">
      <c r="A3" t="s">
        <v>163</v>
      </c>
    </row>
    <row r="5" spans="1:2" x14ac:dyDescent="0.3">
      <c r="A5" s="31" t="s">
        <v>164</v>
      </c>
    </row>
    <row r="6" spans="1:2" ht="28.8" x14ac:dyDescent="0.3">
      <c r="A6" s="26" t="s">
        <v>165</v>
      </c>
    </row>
    <row r="8" spans="1:2" x14ac:dyDescent="0.3">
      <c r="A8" s="32" t="s">
        <v>166</v>
      </c>
    </row>
    <row r="9" spans="1:2" x14ac:dyDescent="0.3">
      <c r="A9" s="1" t="s">
        <v>167</v>
      </c>
    </row>
    <row r="10" spans="1:2" ht="57.6" x14ac:dyDescent="0.3">
      <c r="A10" s="28" t="s">
        <v>168</v>
      </c>
    </row>
    <row r="12" spans="1:2" x14ac:dyDescent="0.3">
      <c r="A12" s="1" t="s">
        <v>169</v>
      </c>
    </row>
    <row r="13" spans="1:2" ht="57.6" x14ac:dyDescent="0.3">
      <c r="A13" s="26" t="s">
        <v>170</v>
      </c>
    </row>
    <row r="15" spans="1:2" x14ac:dyDescent="0.3">
      <c r="A15" s="1" t="s">
        <v>171</v>
      </c>
    </row>
    <row r="16" spans="1:2" ht="57.6" x14ac:dyDescent="0.3">
      <c r="A16" s="26" t="s">
        <v>172</v>
      </c>
    </row>
    <row r="18" spans="1:1" x14ac:dyDescent="0.3">
      <c r="A18" s="1" t="s">
        <v>173</v>
      </c>
    </row>
    <row r="19" spans="1:1" ht="57.6" x14ac:dyDescent="0.3">
      <c r="A19" s="26" t="s">
        <v>174</v>
      </c>
    </row>
    <row r="21" spans="1:1" x14ac:dyDescent="0.3">
      <c r="A21" s="18" t="s">
        <v>175</v>
      </c>
    </row>
    <row r="22" spans="1:1" x14ac:dyDescent="0.3">
      <c r="A22" s="1" t="s">
        <v>176</v>
      </c>
    </row>
    <row r="23" spans="1:1" ht="43.2" x14ac:dyDescent="0.3">
      <c r="A23" s="26" t="s">
        <v>177</v>
      </c>
    </row>
    <row r="25" spans="1:1" ht="43.2" x14ac:dyDescent="0.3">
      <c r="A25" s="26" t="s">
        <v>178</v>
      </c>
    </row>
    <row r="27" spans="1:1" x14ac:dyDescent="0.3">
      <c r="A27" s="1" t="s">
        <v>179</v>
      </c>
    </row>
    <row r="28" spans="1:1" ht="43.2" x14ac:dyDescent="0.3">
      <c r="A28" s="26" t="s">
        <v>180</v>
      </c>
    </row>
    <row r="30" spans="1:1" ht="43.2" x14ac:dyDescent="0.3">
      <c r="A30" s="26" t="s">
        <v>181</v>
      </c>
    </row>
    <row r="31" spans="1:1" ht="15" thickBot="1" x14ac:dyDescent="0.35"/>
    <row r="32" spans="1:1" ht="15.6" thickTop="1" thickBot="1" x14ac:dyDescent="0.35">
      <c r="A32" s="30" t="s">
        <v>182</v>
      </c>
    </row>
    <row r="33" spans="1:2" ht="72.599999999999994" thickTop="1" x14ac:dyDescent="0.3">
      <c r="A33" s="26" t="s">
        <v>183</v>
      </c>
    </row>
    <row r="35" spans="1:2" ht="15.6" x14ac:dyDescent="0.3">
      <c r="A35" s="29" t="s">
        <v>184</v>
      </c>
    </row>
    <row r="36" spans="1:2" ht="15.6" x14ac:dyDescent="0.3">
      <c r="A36" s="29" t="s">
        <v>185</v>
      </c>
    </row>
    <row r="40" spans="1:2" x14ac:dyDescent="0.3">
      <c r="B40" s="1"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vt:lpstr>
      <vt:lpstr>Product_Master</vt:lpstr>
      <vt:lpstr>Analysis</vt:lpstr>
      <vt:lpstr>Dashboard</vt:lpstr>
      <vt:lpstr>Regional_Analysis</vt:lpstr>
      <vt:lpstr>Product_Analysis</vt:lpstr>
      <vt:lpstr>Executive_Summary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shradha pandey</dc:creator>
  <cp:lastModifiedBy>shradha pandey</cp:lastModifiedBy>
  <cp:lastPrinted>2026-01-26T06:14:10Z</cp:lastPrinted>
  <dcterms:created xsi:type="dcterms:W3CDTF">2026-01-17T00:42:48Z</dcterms:created>
  <dcterms:modified xsi:type="dcterms:W3CDTF">2026-02-10T03:42:04Z</dcterms:modified>
</cp:coreProperties>
</file>